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20370" yWindow="-120" windowWidth="20730" windowHeight="11040"/>
  </bookViews>
  <sheets>
    <sheet sheetId="1" name="school_form_4_ver2014.2.1.1" state="visible" r:id="rId4"/>
  </sheets>
  <definedNames>
    <definedName name="_xlnm.Print_Area" localSheetId="0">'school_form_4_ver2014.2.1.1'!$A1:$BC36</definedName>
  </definedNames>
  <calcPr calcId="171027"/>
</workbook>
</file>

<file path=xl/sharedStrings.xml><?xml version="1.0" encoding="utf-8"?>
<sst xmlns="http://schemas.openxmlformats.org/spreadsheetml/2006/main" count="299" uniqueCount="63">
  <si>
    <t>School Form 4 (SF4) Monthly Learner's Movement and Attendance</t>
  </si>
  <si>
    <t>(This replaces Form 3 &amp; STS Form 4-Absenteeism and Dropout Profile)</t>
  </si>
  <si>
    <t xml:space="preserve">School ID </t>
  </si>
  <si>
    <t xml:space="preserve">Division </t>
  </si>
  <si>
    <t xml:space="preserve">School Name </t>
  </si>
  <si>
    <t xml:space="preserve">School Year </t>
  </si>
  <si>
    <t>Report for the Month of</t>
  </si>
  <si>
    <t>GRADE/ YEAR LEVEL</t>
  </si>
  <si>
    <t>SECTION</t>
  </si>
  <si>
    <t>NAME OF ADVISER</t>
  </si>
  <si>
    <t>REGISTERED LEARNERS (As of End of the Month)</t>
  </si>
  <si>
    <t>ATTENDANCE</t>
  </si>
  <si>
    <t>NLPA</t>
  </si>
  <si>
    <t>TRANSFERRED OUT</t>
  </si>
  <si>
    <t>TRANSFERRED IN</t>
  </si>
  <si>
    <t>Daily Average</t>
  </si>
  <si>
    <t>Percentage for the Month</t>
  </si>
  <si>
    <t>(A) Cumulative as of Previous Month</t>
  </si>
  <si>
    <t>(B) For the Month</t>
  </si>
  <si>
    <t>(A+B) Cumulative as of End of the Month</t>
  </si>
  <si>
    <t>M</t>
  </si>
  <si>
    <t>F</t>
  </si>
  <si>
    <t>T</t>
  </si>
  <si>
    <t>Grade 7</t>
  </si>
  <si>
    <t>Alpha</t>
  </si>
  <si>
    <t>Teacher A</t>
  </si>
  <si>
    <t>Beta</t>
  </si>
  <si>
    <t>Delta</t>
  </si>
  <si>
    <t>Gamma</t>
  </si>
  <si>
    <t>Grade 8</t>
  </si>
  <si>
    <t>Epsilon</t>
  </si>
  <si>
    <t>Teacher B</t>
  </si>
  <si>
    <t>Eta</t>
  </si>
  <si>
    <t>Theta</t>
  </si>
  <si>
    <t>Zeta</t>
  </si>
  <si>
    <t>Grade 9</t>
  </si>
  <si>
    <t>Iota</t>
  </si>
  <si>
    <t>Teacher C</t>
  </si>
  <si>
    <t>Kappa</t>
  </si>
  <si>
    <t>Lambda</t>
  </si>
  <si>
    <t>Mu</t>
  </si>
  <si>
    <t>Grade 10</t>
  </si>
  <si>
    <t>Nu</t>
  </si>
  <si>
    <t>Teacher D</t>
  </si>
  <si>
    <t>Omicron</t>
  </si>
  <si>
    <t>Pi</t>
  </si>
  <si>
    <t>Xi</t>
  </si>
  <si>
    <t>SECONDARY:</t>
  </si>
  <si>
    <t/>
  </si>
  <si>
    <t>Grade 7 (Year I)</t>
  </si>
  <si>
    <t>Grade 8 (Year II)</t>
  </si>
  <si>
    <t>Grade 9 (Year III)</t>
  </si>
  <si>
    <t>Grade 10 (Year IV)</t>
  </si>
  <si>
    <t>TOTAL</t>
  </si>
  <si>
    <t>Mortality (Death)</t>
  </si>
  <si>
    <t>Prepared and Submitted by:</t>
  </si>
  <si>
    <t>Previous Month/s</t>
  </si>
  <si>
    <t>For the Month</t>
  </si>
  <si>
    <t>Cummulative as of End of Month</t>
  </si>
  <si>
    <t>NEWLITA E. SINDO</t>
  </si>
  <si>
    <t>JOSEPH EARVEN C. VALDESIMO</t>
  </si>
  <si>
    <t>(Signature of School Head over Printed Name)</t>
  </si>
  <si>
    <t>Generated thru LIS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</si>
</sst>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color theme="1"/>
      <family val="2"/>
      <scheme val="minor"/>
      <sz val="11"/>
      <name val="Calibri"/>
    </font>
    <font>
      <b/>
      <color theme="1" tint="0.0499893185216834"/>
      <sz val="18"/>
      <name val="SansSerif"/>
    </font>
    <font>
      <color theme="1" tint="0.0499893185216834"/>
      <family val="2"/>
      <sz val="10"/>
      <name val="Arial"/>
    </font>
    <font>
      <i/>
      <color theme="1" tint="0.0499893185216834"/>
      <sz val="7"/>
      <name val="SansSerif"/>
    </font>
    <font>
      <color theme="1" tint="0.0499893185216834"/>
      <sz val="9"/>
      <name val="SansSerif"/>
    </font>
    <font>
      <color theme="1" tint="0.0499893185216834"/>
      <sz val="6"/>
      <name val="SansSerif"/>
    </font>
    <font>
      <b/>
      <color theme="1" tint="0.0499893185216834"/>
      <sz val="6"/>
      <name val="SansSerif"/>
    </font>
    <font>
      <color theme="1" tint="0.0499893185216834"/>
      <sz val="5"/>
      <name val="SansSerif"/>
    </font>
    <font>
      <b/>
      <color theme="1" tint="0.0499893185216834"/>
      <sz val="8"/>
      <name val="SansSerif"/>
    </font>
    <font>
      <b/>
      <color theme="1" tint="0.0499893185216834"/>
      <sz val="9"/>
      <name val="SansSerif"/>
    </font>
    <font>
      <sz val="10"/>
      <name val="Arial"/>
    </font>
    <font>
      <color indexed="72"/>
      <sz val="8"/>
      <name val="SansSerif"/>
    </font>
    <font>
      <sz val="9"/>
      <name val="SansSerif"/>
    </font>
  </fonts>
  <fills count="5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</fills>
  <borders count="43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/>
      <top style="medium">
        <color indexed="8"/>
      </top>
      <bottom/>
      <diagonal/>
    </border>
    <border>
      <left/>
      <right style="medium">
        <color indexed="8"/>
      </right>
      <top style="medium">
        <color indexed="8"/>
      </top>
      <bottom/>
      <diagonal/>
    </border>
    <border>
      <left/>
      <right/>
      <top style="medium">
        <color indexed="8"/>
      </top>
      <bottom/>
      <diagonal/>
    </border>
    <border>
      <left style="medium">
        <color indexed="8"/>
      </left>
      <right/>
      <top style="medium">
        <color indexed="8"/>
      </top>
      <bottom style="medium">
        <color indexed="8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/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/>
      <top/>
      <bottom/>
      <diagonal/>
    </border>
    <border>
      <left/>
      <right style="medium">
        <color indexed="8"/>
      </right>
      <top/>
      <bottom/>
      <diagonal/>
    </border>
    <border>
      <left style="medium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medium">
        <color indexed="8"/>
      </right>
      <top/>
      <bottom style="thin">
        <color indexed="8"/>
      </bottom>
      <diagonal/>
    </border>
    <border>
      <left style="medium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/>
      <top/>
      <bottom style="medium">
        <color indexed="8"/>
      </bottom>
      <diagonal/>
    </border>
    <border>
      <left/>
      <right style="medium">
        <color indexed="8"/>
      </right>
      <top/>
      <bottom style="medium">
        <color indexed="8"/>
      </bottom>
      <diagonal/>
    </border>
    <border>
      <left/>
      <right/>
      <top/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/>
      <top style="thin">
        <color indexed="8"/>
      </top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medium">
        <color indexed="8"/>
      </left>
      <right/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/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/>
      <top style="medium">
        <color indexed="8"/>
      </top>
      <bottom style="thin">
        <color indexed="8"/>
      </bottom>
      <diagonal/>
    </border>
    <border>
      <left/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/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/>
      <top style="medium">
        <color indexed="8"/>
      </top>
      <bottom style="thin">
        <color indexed="8"/>
      </bottom>
      <diagonal/>
    </border>
    <border>
      <left style="medium">
        <color indexed="8"/>
      </left>
      <right/>
      <top style="double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double">
        <color indexed="8"/>
      </top>
      <bottom style="medium">
        <color indexed="8"/>
      </bottom>
      <diagonal/>
    </border>
    <border>
      <left style="thin">
        <color indexed="8"/>
      </left>
      <right/>
      <top style="double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double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double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</borders>
  <cellStyleXfs count="1">
    <xf numFmtId="0" fontId="0" fillId="0" borderId="0"/>
  </cellStyleXfs>
  <cellXfs count="82">
    <xf numFmtId="0" fontId="0" fillId="0" borderId="0" xfId="0"/>
    <xf numFmtId="0" fontId="1" fillId="0" borderId="0" xfId="0" applyFont="1" applyAlignment="1">
      <alignment horizontal="center" vertical="top" wrapText="1"/>
    </xf>
    <xf numFmtId="0" fontId="2" fillId="0" borderId="0" xfId="0" applyFont="1"/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horizontal="right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0" xfId="0" applyFont="1" applyAlignment="1">
      <alignment horizontal="left" vertical="top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4" fontId="5" fillId="0" borderId="15" xfId="0" applyNumberFormat="1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3" fontId="5" fillId="0" borderId="1" xfId="0" applyNumberFormat="1" applyFont="1" applyBorder="1" applyAlignment="1">
      <alignment horizontal="center" vertical="center" wrapText="1"/>
    </xf>
    <xf numFmtId="0" fontId="5" fillId="0" borderId="16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 wrapText="1"/>
    </xf>
    <xf numFmtId="0" fontId="5" fillId="0" borderId="17" xfId="0" applyFont="1" applyBorder="1" applyAlignment="1">
      <alignment horizontal="center" vertical="center" wrapText="1"/>
    </xf>
    <xf numFmtId="0" fontId="5" fillId="0" borderId="18" xfId="0" applyFont="1" applyBorder="1" applyAlignment="1">
      <alignment horizontal="center" vertical="center" wrapText="1"/>
    </xf>
    <xf numFmtId="0" fontId="5" fillId="0" borderId="19" xfId="0" applyFont="1" applyBorder="1" applyAlignment="1">
      <alignment horizontal="center" vertical="center" wrapText="1"/>
    </xf>
    <xf numFmtId="0" fontId="5" fillId="0" borderId="20" xfId="0" applyFont="1" applyBorder="1" applyAlignment="1">
      <alignment horizontal="center" vertical="center" wrapText="1"/>
    </xf>
    <xf numFmtId="0" fontId="5" fillId="0" borderId="21" xfId="0" applyFont="1" applyBorder="1" applyAlignment="1">
      <alignment horizontal="center" vertical="center" wrapText="1"/>
    </xf>
    <xf numFmtId="0" fontId="5" fillId="0" borderId="22" xfId="0" applyFont="1" applyBorder="1" applyAlignment="1">
      <alignment horizontal="center" vertical="center" wrapText="1"/>
    </xf>
    <xf numFmtId="0" fontId="5" fillId="0" borderId="23" xfId="0" applyFont="1" applyBorder="1" applyAlignment="1">
      <alignment horizontal="center" vertical="center" wrapText="1"/>
    </xf>
    <xf numFmtId="4" fontId="5" fillId="0" borderId="24" xfId="0" applyNumberFormat="1" applyFont="1" applyBorder="1" applyAlignment="1">
      <alignment horizontal="center" vertical="center" wrapText="1"/>
    </xf>
    <xf numFmtId="0" fontId="5" fillId="0" borderId="25" xfId="0" applyFont="1" applyBorder="1" applyAlignment="1">
      <alignment horizontal="center" vertical="center" wrapText="1"/>
    </xf>
    <xf numFmtId="0" fontId="5" fillId="0" borderId="26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5" fillId="0" borderId="16" xfId="0" applyFont="1" applyBorder="1" applyAlignment="1">
      <alignment horizontal="left" vertical="center" wrapText="1"/>
    </xf>
    <xf numFmtId="3" fontId="5" fillId="0" borderId="27" xfId="0" applyNumberFormat="1" applyFont="1" applyBorder="1" applyAlignment="1">
      <alignment horizontal="center" vertical="center" wrapText="1"/>
    </xf>
    <xf numFmtId="3" fontId="5" fillId="2" borderId="28" xfId="0" applyNumberFormat="1" applyFont="1" applyFill="1" applyBorder="1" applyAlignment="1">
      <alignment horizontal="center" vertical="center" wrapText="1"/>
    </xf>
    <xf numFmtId="4" fontId="5" fillId="0" borderId="29" xfId="0" applyNumberFormat="1" applyFont="1" applyBorder="1" applyAlignment="1">
      <alignment horizontal="center" vertical="center" wrapText="1"/>
    </xf>
    <xf numFmtId="0" fontId="5" fillId="0" borderId="30" xfId="0" applyFont="1" applyBorder="1" applyAlignment="1">
      <alignment horizontal="center" vertical="center" wrapText="1"/>
    </xf>
    <xf numFmtId="4" fontId="5" fillId="0" borderId="31" xfId="0" applyNumberFormat="1" applyFont="1" applyBorder="1" applyAlignment="1">
      <alignment horizontal="center" vertical="center" wrapText="1"/>
    </xf>
    <xf numFmtId="4" fontId="5" fillId="3" borderId="31" xfId="0" applyNumberFormat="1" applyFont="1" applyFill="1" applyBorder="1" applyAlignment="1">
      <alignment horizontal="center" vertical="center" wrapText="1"/>
    </xf>
    <xf numFmtId="9" fontId="5" fillId="0" borderId="31" xfId="0" applyNumberFormat="1" applyFont="1" applyBorder="1" applyAlignment="1">
      <alignment horizontal="center" vertical="center" wrapText="1"/>
    </xf>
    <xf numFmtId="9" fontId="5" fillId="3" borderId="28" xfId="0" applyNumberFormat="1" applyFont="1" applyFill="1" applyBorder="1" applyAlignment="1">
      <alignment horizontal="center" vertical="center" wrapText="1"/>
    </xf>
    <xf numFmtId="0" fontId="5" fillId="0" borderId="28" xfId="0" applyFont="1" applyBorder="1" applyAlignment="1">
      <alignment horizontal="center" vertical="center" wrapText="1"/>
    </xf>
    <xf numFmtId="3" fontId="0" fillId="0" borderId="0" xfId="0" applyNumberFormat="1"/>
    <xf numFmtId="4" fontId="0" fillId="0" borderId="0" xfId="0" applyNumberFormat="1"/>
    <xf numFmtId="9" fontId="0" fillId="0" borderId="0" xfId="0" applyNumberFormat="1"/>
    <xf numFmtId="0" fontId="8" fillId="0" borderId="7" xfId="0" applyFont="1" applyBorder="1" applyAlignment="1">
      <alignment horizontal="left" vertical="center" wrapText="1"/>
    </xf>
    <xf numFmtId="0" fontId="5" fillId="0" borderId="32" xfId="0" applyFont="1" applyBorder="1" applyAlignment="1">
      <alignment horizontal="center" vertical="center" wrapText="1"/>
    </xf>
    <xf numFmtId="0" fontId="5" fillId="0" borderId="33" xfId="0" applyFont="1" applyBorder="1" applyAlignment="1">
      <alignment horizontal="center" vertical="center" wrapText="1"/>
    </xf>
    <xf numFmtId="0" fontId="5" fillId="0" borderId="34" xfId="0" applyFont="1" applyBorder="1" applyAlignment="1">
      <alignment horizontal="center" vertical="center" wrapText="1"/>
    </xf>
    <xf numFmtId="3" fontId="5" fillId="4" borderId="27" xfId="0" applyNumberFormat="1" applyFont="1" applyFill="1" applyBorder="1" applyAlignment="1">
      <alignment horizontal="center" vertical="center" wrapText="1"/>
    </xf>
    <xf numFmtId="3" fontId="5" fillId="4" borderId="35" xfId="0" applyNumberFormat="1" applyFont="1" applyFill="1" applyBorder="1" applyAlignment="1">
      <alignment horizontal="center" vertical="center" wrapText="1"/>
    </xf>
    <xf numFmtId="4" fontId="5" fillId="4" borderId="15" xfId="0" applyNumberFormat="1" applyFont="1" applyFill="1" applyBorder="1" applyAlignment="1">
      <alignment horizontal="center" vertical="center" wrapText="1"/>
    </xf>
    <xf numFmtId="4" fontId="5" fillId="4" borderId="31" xfId="0" applyNumberFormat="1" applyFont="1" applyFill="1" applyBorder="1" applyAlignment="1">
      <alignment horizontal="center" vertical="center" wrapText="1"/>
    </xf>
    <xf numFmtId="9" fontId="5" fillId="4" borderId="31" xfId="0" applyNumberFormat="1" applyFont="1" applyFill="1" applyBorder="1" applyAlignment="1">
      <alignment horizontal="center" vertical="center" wrapText="1"/>
    </xf>
    <xf numFmtId="3" fontId="5" fillId="4" borderId="1" xfId="0" applyNumberFormat="1" applyFont="1" applyFill="1" applyBorder="1" applyAlignment="1">
      <alignment horizontal="center" vertical="center" wrapText="1"/>
    </xf>
    <xf numFmtId="0" fontId="6" fillId="0" borderId="36" xfId="0" applyFont="1" applyBorder="1" applyAlignment="1">
      <alignment horizontal="center" vertical="center" wrapText="1"/>
    </xf>
    <xf numFmtId="3" fontId="5" fillId="0" borderId="37" xfId="0" applyNumberFormat="1" applyFont="1" applyBorder="1" applyAlignment="1">
      <alignment horizontal="center" vertical="center" wrapText="1"/>
    </xf>
    <xf numFmtId="3" fontId="5" fillId="0" borderId="38" xfId="0" applyNumberFormat="1" applyFont="1" applyBorder="1" applyAlignment="1">
      <alignment horizontal="center" vertical="center" wrapText="1"/>
    </xf>
    <xf numFmtId="3" fontId="5" fillId="0" borderId="39" xfId="0" applyNumberFormat="1" applyFont="1" applyBorder="1" applyAlignment="1">
      <alignment horizontal="center" vertical="center" wrapText="1"/>
    </xf>
    <xf numFmtId="4" fontId="5" fillId="0" borderId="36" xfId="0" applyNumberFormat="1" applyFont="1" applyBorder="1" applyAlignment="1">
      <alignment horizontal="center" vertical="center" wrapText="1"/>
    </xf>
    <xf numFmtId="4" fontId="5" fillId="0" borderId="40" xfId="0" applyNumberFormat="1" applyFont="1" applyBorder="1" applyAlignment="1">
      <alignment horizontal="center" vertical="center" wrapText="1"/>
    </xf>
    <xf numFmtId="9" fontId="5" fillId="0" borderId="40" xfId="0" applyNumberFormat="1" applyFont="1" applyBorder="1" applyAlignment="1">
      <alignment horizontal="center" vertical="center" wrapText="1"/>
    </xf>
    <xf numFmtId="9" fontId="5" fillId="0" borderId="39" xfId="0" applyNumberFormat="1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9" fillId="0" borderId="41" xfId="0" applyFont="1" applyBorder="1" applyAlignment="1">
      <alignment horizontal="center" vertical="center" wrapText="1"/>
    </xf>
    <xf numFmtId="0" fontId="4" fillId="0" borderId="42" xfId="0" applyFont="1" applyBorder="1" applyAlignment="1">
      <alignment horizontal="center" vertical="center" wrapText="1"/>
    </xf>
    <xf numFmtId="0" fontId="9" fillId="0" borderId="42" xfId="0" applyFont="1" applyBorder="1" applyAlignment="1">
      <alignment horizontal="center" vertical="center" wrapText="1"/>
    </xf>
    <xf numFmtId="0" fontId="8" fillId="0" borderId="19" xfId="0" applyFont="1" applyBorder="1" applyAlignment="1">
      <alignment horizontal="center" wrapText="1"/>
    </xf>
    <xf numFmtId="0" fontId="10" fillId="0" borderId="0" xfId="0" applyFont="1"/>
    <xf numFmtId="0" fontId="6" fillId="0" borderId="0" xfId="0" applyFont="1" applyAlignment="1">
      <alignment horizontal="center" vertical="top" wrapText="1"/>
    </xf>
    <xf numFmtId="0" fontId="6" fillId="0" borderId="6" xfId="0" applyFont="1" applyBorder="1" applyAlignment="1">
      <alignment horizontal="center" vertical="top" wrapText="1"/>
    </xf>
    <xf numFmtId="0" fontId="11" fillId="0" borderId="0" xfId="0" applyFont="1" applyAlignment="1">
      <alignment horizontal="left" vertical="center" wrapText="1"/>
    </xf>
    <xf numFmtId="0" fontId="12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B34"/>
  <sheetViews>
    <sheetView workbookViewId="0" zoomScale="115" zoomScaleNormal="130" view="pageBreakPreview">
      <selection activeCell="O3" sqref="O3"/>
    </sheetView>
  </sheetViews>
  <sheetFormatPr defaultRowHeight="12.75" outlineLevelRow="0" outlineLevelCol="0" x14ac:dyDescent="0" customHeight="1"/>
  <cols>
    <col min="1" max="1" width="1.5703125" customWidth="1"/>
    <col min="2" max="2" width="4.42578125" customWidth="1"/>
    <col min="3" max="3" width="10.85546875" customWidth="1"/>
    <col min="4" max="4" width="0.28515625" customWidth="1"/>
    <col min="5" max="5" width="0.5703125" customWidth="1"/>
    <col min="6" max="6" width="5" customWidth="1"/>
    <col min="7" max="7" width="4.140625" customWidth="1"/>
    <col min="8" max="8" width="4.7109375" customWidth="1"/>
    <col min="9" max="9" width="2.140625" customWidth="1"/>
    <col min="10" max="10" width="5.140625" customWidth="1"/>
    <col min="11" max="11" width="0.85546875" customWidth="1"/>
    <col min="12" max="12" width="2" customWidth="1"/>
    <col min="13" max="13" width="3.28515625" customWidth="1"/>
    <col min="14" max="14" width="1.28515625" customWidth="1"/>
    <col min="15" max="15" width="1.5703125" customWidth="1"/>
    <col min="16" max="16" width="3.140625" customWidth="1"/>
    <col min="17" max="17" width="3.28515625" customWidth="1"/>
    <col min="18" max="18" width="4" customWidth="1"/>
    <col min="19" max="19" width="5.5703125" customWidth="1"/>
    <col min="20" max="20" width="5.7109375" customWidth="1"/>
    <col min="21" max="21" width="0.140625" customWidth="1"/>
    <col min="22" max="22" width="2.7109375" customWidth="1"/>
    <col min="23" max="23" width="1.5703125" customWidth="1"/>
    <col min="24" max="24" width="1.28515625" customWidth="1"/>
    <col min="25" max="27" width="2.85546875" customWidth="1"/>
    <col min="28" max="28" width="0.7109375" customWidth="1"/>
    <col min="29" max="29" width="2.140625" customWidth="1"/>
    <col min="30" max="34" width="2.85546875" customWidth="1"/>
    <col min="35" max="35" width="1.7109375" customWidth="1"/>
    <col min="36" max="36" width="1.140625" customWidth="1"/>
    <col min="37" max="40" width="2.85546875" customWidth="1"/>
    <col min="41" max="41" width="0.7109375" customWidth="1"/>
    <col min="42" max="42" width="2.140625" customWidth="1"/>
    <col min="43" max="43" width="1.7109375" customWidth="1"/>
    <col min="44" max="44" width="1.140625" customWidth="1"/>
    <col min="45" max="51" width="2.85546875" customWidth="1"/>
    <col min="52" max="52" width="4.42578125" customWidth="1"/>
    <col min="53" max="53" width="5.140625" customWidth="1"/>
    <col min="54" max="54" width="1.7109375" customWidth="1"/>
  </cols>
  <sheetData>
    <row r="1" ht="30" customHeight="1" spans="1:54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</row>
    <row r="2" ht="20.1" customHeight="1" spans="1:54" x14ac:dyDescent="0.25">
      <c r="A2" s="3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</row>
    <row r="3" ht="20.1" customHeight="1" spans="1:54" x14ac:dyDescent="0.25">
      <c r="A3" s="4" t="s">
        <v>2</v>
      </c>
      <c r="B3" s="2"/>
      <c r="C3" s="2"/>
      <c r="D3" s="2"/>
      <c r="E3" s="2"/>
      <c r="F3" s="2"/>
      <c r="G3" s="2"/>
      <c r="H3" s="5"/>
      <c r="I3" s="6"/>
      <c r="J3" s="6"/>
      <c r="K3" s="6"/>
      <c r="L3" s="6"/>
      <c r="M3" s="7"/>
      <c r="N3" s="8"/>
      <c r="O3" s="5"/>
      <c r="P3" s="6"/>
      <c r="Q3" s="6"/>
      <c r="R3" s="6"/>
      <c r="S3" s="6"/>
      <c r="T3" s="6"/>
      <c r="U3" s="6"/>
      <c r="V3" s="6"/>
      <c r="W3" s="7"/>
      <c r="X3" s="4" t="s">
        <v>3</v>
      </c>
      <c r="Y3" s="2"/>
      <c r="Z3" s="2"/>
      <c r="AA3" s="2"/>
      <c r="AB3" s="2"/>
      <c r="AC3" s="2"/>
      <c r="AD3" s="5"/>
      <c r="AE3" s="6"/>
      <c r="AF3" s="6"/>
      <c r="AG3" s="6"/>
      <c r="AH3" s="6"/>
      <c r="AI3" s="6"/>
      <c r="AJ3" s="6"/>
      <c r="AK3" s="6"/>
      <c r="AL3" s="6"/>
      <c r="AM3" s="6"/>
      <c r="AN3" s="6"/>
      <c r="AO3" s="7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</row>
    <row r="4" ht="20.1" customHeight="1" spans="1:54" x14ac:dyDescent="0.25">
      <c r="A4" s="4" t="s">
        <v>4</v>
      </c>
      <c r="B4" s="2"/>
      <c r="C4" s="2"/>
      <c r="D4" s="2"/>
      <c r="E4" s="2"/>
      <c r="F4" s="2"/>
      <c r="G4" s="2"/>
      <c r="H4" s="5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7"/>
      <c r="X4" s="4" t="s">
        <v>5</v>
      </c>
      <c r="Y4" s="2"/>
      <c r="Z4" s="2"/>
      <c r="AA4" s="2"/>
      <c r="AB4" s="2"/>
      <c r="AC4" s="2"/>
      <c r="AD4" s="5"/>
      <c r="AE4" s="6"/>
      <c r="AF4" s="6"/>
      <c r="AG4" s="6"/>
      <c r="AH4" s="6"/>
      <c r="AI4" s="7"/>
      <c r="AJ4" s="4" t="s">
        <v>6</v>
      </c>
      <c r="AK4" s="2"/>
      <c r="AL4" s="2"/>
      <c r="AM4" s="2"/>
      <c r="AN4" s="2"/>
      <c r="AO4" s="2"/>
      <c r="AP4" s="2"/>
      <c r="AQ4" s="2"/>
      <c r="AR4" s="2"/>
      <c r="AS4" s="2"/>
      <c r="AT4" s="2"/>
      <c r="AU4" s="5"/>
      <c r="AV4" s="6"/>
      <c r="AW4" s="6"/>
      <c r="AX4" s="6"/>
      <c r="AY4" s="6"/>
      <c r="AZ4" s="6"/>
      <c r="BA4" s="7"/>
      <c r="BB4" s="8"/>
    </row>
    <row r="5" ht="15" customHeight="1" spans="1:54" x14ac:dyDescent="0.25">
      <c r="A5" s="9" t="s">
        <v>7</v>
      </c>
      <c r="B5" s="10"/>
      <c r="C5" s="9" t="s">
        <v>8</v>
      </c>
      <c r="D5" s="11"/>
      <c r="E5" s="10"/>
      <c r="F5" s="9" t="s">
        <v>9</v>
      </c>
      <c r="G5" s="11"/>
      <c r="H5" s="11"/>
      <c r="I5" s="10"/>
      <c r="J5" s="9" t="s">
        <v>10</v>
      </c>
      <c r="K5" s="11"/>
      <c r="L5" s="11"/>
      <c r="M5" s="10"/>
      <c r="N5" s="12" t="s">
        <v>11</v>
      </c>
      <c r="O5" s="13"/>
      <c r="P5" s="13"/>
      <c r="Q5" s="13"/>
      <c r="R5" s="13"/>
      <c r="S5" s="13"/>
      <c r="T5" s="14"/>
      <c r="U5" s="12" t="s">
        <v>12</v>
      </c>
      <c r="V5" s="13"/>
      <c r="W5" s="13"/>
      <c r="X5" s="13"/>
      <c r="Y5" s="13"/>
      <c r="Z5" s="13"/>
      <c r="AA5" s="13"/>
      <c r="AB5" s="13"/>
      <c r="AC5" s="13"/>
      <c r="AD5" s="13"/>
      <c r="AE5" s="13"/>
      <c r="AF5" s="14"/>
      <c r="AG5" s="12" t="s">
        <v>13</v>
      </c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4"/>
      <c r="AS5" s="12" t="s">
        <v>14</v>
      </c>
      <c r="AT5" s="13"/>
      <c r="AU5" s="13"/>
      <c r="AV5" s="13"/>
      <c r="AW5" s="13"/>
      <c r="AX5" s="13"/>
      <c r="AY5" s="13"/>
      <c r="AZ5" s="13"/>
      <c r="BA5" s="14"/>
      <c r="BB5" s="8"/>
    </row>
    <row r="6" ht="35.1" customHeight="1" spans="1:54" x14ac:dyDescent="0.25">
      <c r="A6" s="15"/>
      <c r="B6" s="16"/>
      <c r="C6" s="15"/>
      <c r="D6" s="2"/>
      <c r="E6" s="16"/>
      <c r="F6" s="15"/>
      <c r="G6" s="2"/>
      <c r="H6" s="2"/>
      <c r="I6" s="16"/>
      <c r="J6" s="17"/>
      <c r="K6" s="18"/>
      <c r="L6" s="18"/>
      <c r="M6" s="19"/>
      <c r="N6" s="20" t="s">
        <v>15</v>
      </c>
      <c r="O6" s="21"/>
      <c r="P6" s="21"/>
      <c r="Q6" s="22"/>
      <c r="R6" s="23" t="s">
        <v>16</v>
      </c>
      <c r="S6" s="21"/>
      <c r="T6" s="24"/>
      <c r="U6" s="23" t="s">
        <v>17</v>
      </c>
      <c r="V6" s="21"/>
      <c r="W6" s="21"/>
      <c r="X6" s="21"/>
      <c r="Y6" s="22"/>
      <c r="Z6" s="23" t="s">
        <v>18</v>
      </c>
      <c r="AA6" s="21"/>
      <c r="AB6" s="21"/>
      <c r="AC6" s="22"/>
      <c r="AD6" s="25" t="s">
        <v>19</v>
      </c>
      <c r="AE6" s="26"/>
      <c r="AF6" s="27"/>
      <c r="AG6" s="23" t="s">
        <v>17</v>
      </c>
      <c r="AH6" s="21"/>
      <c r="AI6" s="21"/>
      <c r="AJ6" s="22"/>
      <c r="AK6" s="23" t="s">
        <v>18</v>
      </c>
      <c r="AL6" s="21"/>
      <c r="AM6" s="22"/>
      <c r="AN6" s="25" t="s">
        <v>19</v>
      </c>
      <c r="AO6" s="26"/>
      <c r="AP6" s="26"/>
      <c r="AQ6" s="26"/>
      <c r="AR6" s="27"/>
      <c r="AS6" s="23" t="s">
        <v>17</v>
      </c>
      <c r="AT6" s="21"/>
      <c r="AU6" s="22"/>
      <c r="AV6" s="23" t="s">
        <v>18</v>
      </c>
      <c r="AW6" s="21"/>
      <c r="AX6" s="22"/>
      <c r="AY6" s="25" t="s">
        <v>19</v>
      </c>
      <c r="AZ6" s="26"/>
      <c r="BA6" s="27"/>
      <c r="BB6" s="8"/>
    </row>
    <row r="7" ht="9.95" customHeight="1" spans="1:54" x14ac:dyDescent="0.25">
      <c r="A7" s="28"/>
      <c r="B7" s="29"/>
      <c r="C7" s="28"/>
      <c r="D7" s="30"/>
      <c r="E7" s="29"/>
      <c r="F7" s="28"/>
      <c r="G7" s="30"/>
      <c r="H7" s="30"/>
      <c r="I7" s="29"/>
      <c r="J7" s="31" t="s">
        <v>20</v>
      </c>
      <c r="K7" s="32" t="s">
        <v>21</v>
      </c>
      <c r="L7" s="33"/>
      <c r="M7" s="34" t="s">
        <v>22</v>
      </c>
      <c r="N7" s="35" t="s">
        <v>20</v>
      </c>
      <c r="O7" s="33"/>
      <c r="P7" s="36" t="s">
        <v>21</v>
      </c>
      <c r="Q7" s="36" t="s">
        <v>22</v>
      </c>
      <c r="R7" s="36" t="s">
        <v>20</v>
      </c>
      <c r="S7" s="36" t="s">
        <v>21</v>
      </c>
      <c r="T7" s="34" t="s">
        <v>22</v>
      </c>
      <c r="U7" s="35" t="s">
        <v>20</v>
      </c>
      <c r="V7" s="33"/>
      <c r="W7" s="32" t="s">
        <v>21</v>
      </c>
      <c r="X7" s="33"/>
      <c r="Y7" s="36" t="s">
        <v>22</v>
      </c>
      <c r="Z7" s="36" t="s">
        <v>20</v>
      </c>
      <c r="AA7" s="36" t="s">
        <v>21</v>
      </c>
      <c r="AB7" s="32" t="s">
        <v>22</v>
      </c>
      <c r="AC7" s="33"/>
      <c r="AD7" s="36" t="s">
        <v>20</v>
      </c>
      <c r="AE7" s="36" t="s">
        <v>21</v>
      </c>
      <c r="AF7" s="34" t="s">
        <v>22</v>
      </c>
      <c r="AG7" s="31" t="s">
        <v>20</v>
      </c>
      <c r="AH7" s="36" t="s">
        <v>21</v>
      </c>
      <c r="AI7" s="32" t="s">
        <v>22</v>
      </c>
      <c r="AJ7" s="33"/>
      <c r="AK7" s="36" t="s">
        <v>20</v>
      </c>
      <c r="AL7" s="36" t="s">
        <v>21</v>
      </c>
      <c r="AM7" s="36" t="s">
        <v>22</v>
      </c>
      <c r="AN7" s="36" t="s">
        <v>20</v>
      </c>
      <c r="AO7" s="32" t="s">
        <v>21</v>
      </c>
      <c r="AP7" s="33"/>
      <c r="AQ7" s="32" t="s">
        <v>22</v>
      </c>
      <c r="AR7" s="37"/>
      <c r="AS7" s="31" t="s">
        <v>20</v>
      </c>
      <c r="AT7" s="36" t="s">
        <v>21</v>
      </c>
      <c r="AU7" s="36" t="s">
        <v>22</v>
      </c>
      <c r="AV7" s="36" t="s">
        <v>20</v>
      </c>
      <c r="AW7" s="36" t="s">
        <v>21</v>
      </c>
      <c r="AX7" s="36" t="s">
        <v>22</v>
      </c>
      <c r="AY7" s="36" t="s">
        <v>20</v>
      </c>
      <c r="AZ7" s="36" t="s">
        <v>21</v>
      </c>
      <c r="BA7" s="34" t="s">
        <v>22</v>
      </c>
      <c r="BB7" s="8"/>
    </row>
    <row r="8" ht="20.1" customHeight="1" spans="1:54" x14ac:dyDescent="0.25">
      <c r="A8" s="20" t="s">
        <v>23</v>
      </c>
      <c r="B8" s="24"/>
      <c r="C8" s="38" t="s">
        <v>24</v>
      </c>
      <c r="D8" s="39"/>
      <c r="E8" s="40"/>
      <c r="F8" s="38" t="s">
        <v>25</v>
      </c>
      <c r="G8" s="39"/>
      <c r="H8" s="39"/>
      <c r="I8" s="40"/>
      <c r="J8" s="41">
        <v>20</v>
      </c>
      <c r="K8" s="23">
        <v>18</v>
      </c>
      <c r="L8" s="22"/>
      <c r="M8" s="42">
        <f>J8+K8</f>
      </c>
      <c r="N8" s="43">
        <v>19.5</v>
      </c>
      <c r="O8" s="44"/>
      <c r="P8" s="45">
        <v>17.2</v>
      </c>
      <c r="Q8" s="46">
        <f>N8+P8</f>
      </c>
      <c r="R8" s="47">
        <f>IF(J8&gt;0,N8/J8,0)</f>
      </c>
      <c r="S8" s="47">
        <f>IF(K8&gt;0,P8/K8,0)</f>
      </c>
      <c r="T8" s="48">
        <f>IF(Q8&gt;0,(R8+S8)/2,0)</f>
      </c>
      <c r="U8" s="20"/>
      <c r="V8" s="22"/>
      <c r="W8" s="23"/>
      <c r="X8" s="22"/>
      <c r="Y8" s="45">
        <f>SUM(U8+W8)</f>
        <v>0</v>
      </c>
      <c r="Z8" s="45"/>
      <c r="AA8" s="45"/>
      <c r="AB8" s="23">
        <f>SUM(Z8+AA8)</f>
        <v>0</v>
      </c>
      <c r="AC8" s="22"/>
      <c r="AD8" s="45">
        <f>SUM(U8,Z8)</f>
        <v>0</v>
      </c>
      <c r="AE8" s="45">
        <f>SUM(W8,AA8)</f>
        <v>0</v>
      </c>
      <c r="AF8" s="49">
        <f>SUM(AD8:AE8)</f>
        <v>0</v>
      </c>
      <c r="AG8" s="41"/>
      <c r="AH8" s="45"/>
      <c r="AI8" s="23">
        <f>SUM(AG8,AH8)</f>
        <v>0</v>
      </c>
      <c r="AJ8" s="22"/>
      <c r="AK8" s="45"/>
      <c r="AL8" s="45"/>
      <c r="AM8" s="45">
        <f>SUM(AK8,AL8)</f>
        <v>0</v>
      </c>
      <c r="AN8" s="45">
        <f>SUM(AG8,AK8)</f>
        <v>0</v>
      </c>
      <c r="AO8" s="23">
        <f>SUM(AH8,AL8)</f>
        <v>0</v>
      </c>
      <c r="AP8" s="22"/>
      <c r="AQ8" s="23">
        <f>SUM(AN8:AP8)</f>
        <v>0</v>
      </c>
      <c r="AR8" s="24"/>
      <c r="AS8" s="41"/>
      <c r="AT8" s="45"/>
      <c r="AU8" s="45">
        <f>SUM(AS8,AT8)</f>
        <v>0</v>
      </c>
      <c r="AV8" s="45"/>
      <c r="AW8" s="45"/>
      <c r="AX8" s="45">
        <f>SUM(AV8,AW8)</f>
        <v>0</v>
      </c>
      <c r="AY8" s="45">
        <f>SUM(AS8,AV8)</f>
        <v>0</v>
      </c>
      <c r="AZ8" s="45">
        <f>SUM(AT8,AW8)</f>
        <v>0</v>
      </c>
      <c r="BA8" s="49">
        <f>SUM(AY8,AZ8)</f>
        <v>0</v>
      </c>
      <c r="BB8" s="8"/>
    </row>
    <row r="9" ht="20.1" customHeight="1" spans="1:54" x14ac:dyDescent="0.25">
      <c r="A9" s="20" t="s">
        <v>23</v>
      </c>
      <c r="B9" s="24"/>
      <c r="C9" s="38" t="s">
        <v>26</v>
      </c>
      <c r="D9" s="39"/>
      <c r="E9" s="40"/>
      <c r="F9" s="38" t="s">
        <v>25</v>
      </c>
      <c r="G9" s="39"/>
      <c r="H9" s="39"/>
      <c r="I9" s="40"/>
      <c r="J9" s="41">
        <v>20</v>
      </c>
      <c r="K9" s="23">
        <v>18</v>
      </c>
      <c r="L9" s="22"/>
      <c r="M9" s="42">
        <f>J9+K9</f>
      </c>
      <c r="N9" s="20">
        <v>19.5</v>
      </c>
      <c r="O9" s="22"/>
      <c r="P9" s="45">
        <v>17.2</v>
      </c>
      <c r="Q9" s="46">
        <f>N9+P9</f>
      </c>
      <c r="R9" s="47">
        <f>IF(J9&gt;0,N9/J9,0)</f>
      </c>
      <c r="S9" s="47">
        <f>IF(K9&gt;0,P9/K9,0)</f>
      </c>
      <c r="T9" s="48">
        <f>IF(Q9&gt;0,(R9+S9)/2,0)</f>
      </c>
      <c r="U9" s="20"/>
      <c r="V9" s="22"/>
      <c r="W9" s="23"/>
      <c r="X9" s="22"/>
      <c r="Y9" s="45">
        <f t="shared" ref="Y9:Y20" si="0">SUM(U9+W9)</f>
        <v>0</v>
      </c>
      <c r="Z9" s="45"/>
      <c r="AA9" s="45"/>
      <c r="AB9" s="23">
        <f t="shared" ref="AB9:AB20" si="1">SUM(Z9+AA9)</f>
        <v>0</v>
      </c>
      <c r="AC9" s="22"/>
      <c r="AD9" s="45">
        <f t="shared" ref="AD9:AD20" si="2">SUM(U9,Z9)</f>
        <v>0</v>
      </c>
      <c r="AE9" s="45">
        <f t="shared" ref="AE9:AE20" si="3">SUM(W9,AA9)</f>
        <v>0</v>
      </c>
      <c r="AF9" s="49">
        <f t="shared" ref="AF9:AF20" si="4">SUM(AD9:AE9)</f>
        <v>0</v>
      </c>
      <c r="AG9" s="41"/>
      <c r="AH9" s="45"/>
      <c r="AI9" s="23"/>
      <c r="AJ9" s="22"/>
      <c r="AK9" s="45"/>
      <c r="AL9" s="45"/>
      <c r="AM9" s="45">
        <f t="shared" ref="AM9:AM20" si="5">SUM(AK9,AL9)</f>
        <v>0</v>
      </c>
      <c r="AN9" s="45">
        <f t="shared" ref="AN9:AN20" si="6">SUM(AG9,AK9)</f>
        <v>0</v>
      </c>
      <c r="AO9" s="23">
        <f t="shared" ref="AO9:AO20" si="7">SUM(AH9,AL9)</f>
        <v>0</v>
      </c>
      <c r="AP9" s="22"/>
      <c r="AQ9" s="23">
        <f t="shared" ref="AQ9:AQ20" si="8">SUM(AN9:AP9)</f>
        <v>0</v>
      </c>
      <c r="AR9" s="24"/>
      <c r="AS9" s="41"/>
      <c r="AT9" s="45"/>
      <c r="AU9" s="45">
        <f t="shared" ref="AU9:AU20" si="9">SUM(AS9,AT9)</f>
        <v>0</v>
      </c>
      <c r="AV9" s="45"/>
      <c r="AW9" s="45"/>
      <c r="AX9" s="45">
        <f t="shared" ref="AX9:AX20" si="10">SUM(AV9,AW9)</f>
        <v>0</v>
      </c>
      <c r="AY9" s="45">
        <f t="shared" ref="AY9:AY20" si="11">SUM(AS9,AV9)</f>
        <v>0</v>
      </c>
      <c r="AZ9" s="45">
        <f t="shared" ref="AZ9:AZ20" si="12">SUM(AT9,AW9)</f>
        <v>0</v>
      </c>
      <c r="BA9" s="49">
        <f t="shared" ref="BA9:BA20" si="13">SUM(AY9,AZ9)</f>
        <v>0</v>
      </c>
      <c r="BB9" s="8"/>
    </row>
    <row r="10" ht="20.1" customHeight="1" spans="1:54" x14ac:dyDescent="0.25">
      <c r="A10" s="20" t="s">
        <v>23</v>
      </c>
      <c r="B10" s="24"/>
      <c r="C10" s="38" t="s">
        <v>27</v>
      </c>
      <c r="D10" s="39"/>
      <c r="E10" s="40"/>
      <c r="F10" s="38" t="s">
        <v>25</v>
      </c>
      <c r="G10" s="39"/>
      <c r="H10" s="39"/>
      <c r="I10" s="40"/>
      <c r="J10" s="41">
        <v>20</v>
      </c>
      <c r="K10" s="23">
        <v>18</v>
      </c>
      <c r="L10" s="22"/>
      <c r="M10" s="42">
        <f>J10+K10</f>
      </c>
      <c r="N10" s="20">
        <v>19.5</v>
      </c>
      <c r="O10" s="22"/>
      <c r="P10" s="45">
        <v>17.2</v>
      </c>
      <c r="Q10" s="46">
        <f>N10+P10</f>
      </c>
      <c r="R10" s="47">
        <f>IF(J10&gt;0,N10/J10,0)</f>
      </c>
      <c r="S10" s="47">
        <f>IF(K10&gt;0,P10/K10,0)</f>
      </c>
      <c r="T10" s="48">
        <f>IF(Q10&gt;0,(R10+S10)/2,0)</f>
      </c>
      <c r="U10" s="20"/>
      <c r="V10" s="22"/>
      <c r="W10" s="23"/>
      <c r="X10" s="22"/>
      <c r="Y10" s="45">
        <f t="shared" si="0"/>
        <v>0</v>
      </c>
      <c r="Z10" s="45"/>
      <c r="AA10" s="45"/>
      <c r="AB10" s="23">
        <f t="shared" si="1"/>
        <v>0</v>
      </c>
      <c r="AC10" s="22"/>
      <c r="AD10" s="45">
        <f t="shared" si="2"/>
        <v>0</v>
      </c>
      <c r="AE10" s="45">
        <f t="shared" si="3"/>
        <v>0</v>
      </c>
      <c r="AF10" s="49">
        <f t="shared" si="4"/>
        <v>0</v>
      </c>
      <c r="AG10" s="41"/>
      <c r="AH10" s="45"/>
      <c r="AI10" s="23"/>
      <c r="AJ10" s="22"/>
      <c r="AK10" s="45"/>
      <c r="AL10" s="45"/>
      <c r="AM10" s="45">
        <f t="shared" si="5"/>
        <v>0</v>
      </c>
      <c r="AN10" s="45">
        <f t="shared" si="6"/>
        <v>0</v>
      </c>
      <c r="AO10" s="23">
        <f t="shared" si="7"/>
        <v>0</v>
      </c>
      <c r="AP10" s="22"/>
      <c r="AQ10" s="23">
        <f t="shared" si="8"/>
        <v>0</v>
      </c>
      <c r="AR10" s="24"/>
      <c r="AS10" s="41"/>
      <c r="AT10" s="45"/>
      <c r="AU10" s="45">
        <f t="shared" si="9"/>
        <v>0</v>
      </c>
      <c r="AV10" s="45"/>
      <c r="AW10" s="45"/>
      <c r="AX10" s="45">
        <f t="shared" si="10"/>
        <v>0</v>
      </c>
      <c r="AY10" s="45">
        <f t="shared" si="11"/>
        <v>0</v>
      </c>
      <c r="AZ10" s="45">
        <f t="shared" si="12"/>
        <v>0</v>
      </c>
      <c r="BA10" s="49">
        <f t="shared" si="13"/>
        <v>0</v>
      </c>
      <c r="BB10" s="8"/>
    </row>
    <row r="11" ht="20.1" customHeight="1" hidden="1" spans="1:54" x14ac:dyDescent="0.25">
      <c r="A11" s="20" t="s">
        <v>23</v>
      </c>
      <c r="B11" s="24"/>
      <c r="C11" s="38" t="s">
        <v>28</v>
      </c>
      <c r="D11" s="39"/>
      <c r="E11" s="40"/>
      <c r="F11" s="38" t="s">
        <v>25</v>
      </c>
      <c r="G11" s="39"/>
      <c r="H11" s="39"/>
      <c r="I11" s="40"/>
      <c r="J11" s="41">
        <v>20</v>
      </c>
      <c r="K11" s="23">
        <v>18</v>
      </c>
      <c r="L11" s="22"/>
      <c r="M11" s="42">
        <f>J11+K11</f>
      </c>
      <c r="N11" s="20">
        <v>19.5</v>
      </c>
      <c r="O11" s="22"/>
      <c r="P11" s="45">
        <v>17.2</v>
      </c>
      <c r="Q11" s="46">
        <f>N11+P11</f>
      </c>
      <c r="R11" s="47">
        <f>IF(J11&gt;0,N11/J11,0)</f>
      </c>
      <c r="S11" s="47">
        <f>IF(K11&gt;0,P11/K11,0)</f>
      </c>
      <c r="T11" s="48">
        <f>IF(Q11&gt;0,(R11+S11)/2,0)</f>
      </c>
      <c r="U11" s="20"/>
      <c r="V11" s="22"/>
      <c r="W11" s="23"/>
      <c r="X11" s="22"/>
      <c r="Y11" s="45">
        <f t="shared" si="0"/>
        <v>0</v>
      </c>
      <c r="Z11" s="45"/>
      <c r="AA11" s="45"/>
      <c r="AB11" s="23">
        <f t="shared" si="1"/>
        <v>0</v>
      </c>
      <c r="AC11" s="22"/>
      <c r="AD11" s="45">
        <f t="shared" si="2"/>
        <v>0</v>
      </c>
      <c r="AE11" s="45">
        <f t="shared" si="3"/>
        <v>0</v>
      </c>
      <c r="AF11" s="49">
        <f t="shared" si="4"/>
        <v>0</v>
      </c>
      <c r="AG11" s="41"/>
      <c r="AH11" s="45"/>
      <c r="AI11" s="23"/>
      <c r="AJ11" s="22"/>
      <c r="AK11" s="45"/>
      <c r="AL11" s="45"/>
      <c r="AM11" s="45">
        <f t="shared" si="5"/>
        <v>0</v>
      </c>
      <c r="AN11" s="45">
        <f t="shared" si="6"/>
        <v>0</v>
      </c>
      <c r="AO11" s="23">
        <f t="shared" si="7"/>
        <v>0</v>
      </c>
      <c r="AP11" s="22"/>
      <c r="AQ11" s="23">
        <f t="shared" si="8"/>
        <v>0</v>
      </c>
      <c r="AR11" s="24"/>
      <c r="AS11" s="41"/>
      <c r="AT11" s="45"/>
      <c r="AU11" s="45">
        <f t="shared" si="9"/>
        <v>0</v>
      </c>
      <c r="AV11" s="45"/>
      <c r="AW11" s="45"/>
      <c r="AX11" s="45">
        <f t="shared" si="10"/>
        <v>0</v>
      </c>
      <c r="AY11" s="45">
        <f t="shared" si="11"/>
        <v>0</v>
      </c>
      <c r="AZ11" s="45">
        <f t="shared" si="12"/>
        <v>0</v>
      </c>
      <c r="BA11" s="49">
        <f t="shared" si="13"/>
        <v>0</v>
      </c>
      <c r="BB11" s="8"/>
    </row>
    <row r="12" ht="20.1" customHeight="1" spans="1:54" x14ac:dyDescent="0.25">
      <c r="A12" s="20" t="s">
        <v>29</v>
      </c>
      <c r="B12" s="24"/>
      <c r="C12" s="38" t="s">
        <v>30</v>
      </c>
      <c r="D12" s="39"/>
      <c r="E12" s="40"/>
      <c r="F12" s="38" t="s">
        <v>31</v>
      </c>
      <c r="G12" s="39"/>
      <c r="H12" s="39"/>
      <c r="I12" s="40"/>
      <c r="J12" s="41">
        <v>22</v>
      </c>
      <c r="K12" s="23">
        <v>20</v>
      </c>
      <c r="L12" s="22"/>
      <c r="M12" s="42">
        <f>J12+K12</f>
      </c>
      <c r="N12" s="20">
        <v>21</v>
      </c>
      <c r="O12" s="22"/>
      <c r="P12" s="45">
        <v>19.5</v>
      </c>
      <c r="Q12" s="46">
        <f>N12+P12</f>
      </c>
      <c r="R12" s="47">
        <f>IF(J12&gt;0,N12/J12,0)</f>
      </c>
      <c r="S12" s="47">
        <f>IF(K12&gt;0,P12/K12,0)</f>
      </c>
      <c r="T12" s="48">
        <f>IF(Q12&gt;0,(R12+S12)/2,0)</f>
      </c>
      <c r="U12" s="20"/>
      <c r="V12" s="22"/>
      <c r="W12" s="23"/>
      <c r="X12" s="22"/>
      <c r="Y12" s="45">
        <f t="shared" si="0"/>
        <v>0</v>
      </c>
      <c r="Z12" s="45"/>
      <c r="AA12" s="45"/>
      <c r="AB12" s="23">
        <f t="shared" si="1"/>
        <v>0</v>
      </c>
      <c r="AC12" s="22"/>
      <c r="AD12" s="45">
        <f t="shared" si="2"/>
        <v>0</v>
      </c>
      <c r="AE12" s="45">
        <f t="shared" si="3"/>
        <v>0</v>
      </c>
      <c r="AF12" s="49">
        <f t="shared" si="4"/>
        <v>0</v>
      </c>
      <c r="AG12" s="41"/>
      <c r="AH12" s="45"/>
      <c r="AI12" s="23"/>
      <c r="AJ12" s="22"/>
      <c r="AK12" s="45"/>
      <c r="AL12" s="45"/>
      <c r="AM12" s="45">
        <f t="shared" si="5"/>
        <v>0</v>
      </c>
      <c r="AN12" s="45">
        <f t="shared" si="6"/>
        <v>0</v>
      </c>
      <c r="AO12" s="23">
        <f t="shared" si="7"/>
        <v>0</v>
      </c>
      <c r="AP12" s="22"/>
      <c r="AQ12" s="23">
        <f t="shared" si="8"/>
        <v>0</v>
      </c>
      <c r="AR12" s="24"/>
      <c r="AS12" s="41"/>
      <c r="AT12" s="45"/>
      <c r="AU12" s="45">
        <f t="shared" si="9"/>
        <v>0</v>
      </c>
      <c r="AV12" s="45"/>
      <c r="AW12" s="45"/>
      <c r="AX12" s="45">
        <f t="shared" si="10"/>
        <v>0</v>
      </c>
      <c r="AY12" s="45">
        <f t="shared" si="11"/>
        <v>0</v>
      </c>
      <c r="AZ12" s="45">
        <f t="shared" si="12"/>
        <v>0</v>
      </c>
      <c r="BA12" s="49">
        <f t="shared" si="13"/>
        <v>0</v>
      </c>
      <c r="BB12" s="8"/>
    </row>
    <row r="13" ht="20.1" customHeight="1" spans="1:54" x14ac:dyDescent="0.25">
      <c r="A13" s="20" t="s">
        <v>29</v>
      </c>
      <c r="B13" s="24"/>
      <c r="C13" s="38" t="s">
        <v>32</v>
      </c>
      <c r="D13" s="39"/>
      <c r="E13" s="40"/>
      <c r="F13" s="38" t="s">
        <v>31</v>
      </c>
      <c r="G13" s="39"/>
      <c r="H13" s="39"/>
      <c r="I13" s="40"/>
      <c r="J13" s="41">
        <v>22</v>
      </c>
      <c r="K13" s="23">
        <v>20</v>
      </c>
      <c r="L13" s="22"/>
      <c r="M13" s="42">
        <f>J13+K13</f>
      </c>
      <c r="N13" s="20">
        <v>21</v>
      </c>
      <c r="O13" s="22"/>
      <c r="P13" s="45">
        <v>19.5</v>
      </c>
      <c r="Q13" s="46">
        <f>N13+P13</f>
      </c>
      <c r="R13" s="47">
        <f>IF(J13&gt;0,N13/J13,0)</f>
      </c>
      <c r="S13" s="47">
        <f>IF(K13&gt;0,P13/K13,0)</f>
      </c>
      <c r="T13" s="48">
        <f>IF(Q13&gt;0,(R13+S13)/2,0)</f>
      </c>
      <c r="U13" s="20"/>
      <c r="V13" s="22"/>
      <c r="W13" s="23"/>
      <c r="X13" s="22"/>
      <c r="Y13" s="45">
        <f t="shared" si="0"/>
        <v>0</v>
      </c>
      <c r="Z13" s="45"/>
      <c r="AA13" s="45"/>
      <c r="AB13" s="23">
        <f t="shared" si="1"/>
        <v>0</v>
      </c>
      <c r="AC13" s="22"/>
      <c r="AD13" s="45">
        <f t="shared" si="2"/>
        <v>0</v>
      </c>
      <c r="AE13" s="45">
        <f t="shared" si="3"/>
        <v>0</v>
      </c>
      <c r="AF13" s="49">
        <f t="shared" si="4"/>
        <v>0</v>
      </c>
      <c r="AG13" s="41"/>
      <c r="AH13" s="45"/>
      <c r="AI13" s="23"/>
      <c r="AJ13" s="22"/>
      <c r="AK13" s="45"/>
      <c r="AL13" s="45"/>
      <c r="AM13" s="45">
        <f t="shared" si="5"/>
        <v>0</v>
      </c>
      <c r="AN13" s="45">
        <f t="shared" si="6"/>
        <v>0</v>
      </c>
      <c r="AO13" s="23">
        <f t="shared" si="7"/>
        <v>0</v>
      </c>
      <c r="AP13" s="22"/>
      <c r="AQ13" s="23">
        <f t="shared" si="8"/>
        <v>0</v>
      </c>
      <c r="AR13" s="24"/>
      <c r="AS13" s="41"/>
      <c r="AT13" s="45"/>
      <c r="AU13" s="45">
        <f t="shared" si="9"/>
        <v>0</v>
      </c>
      <c r="AV13" s="45"/>
      <c r="AW13" s="45"/>
      <c r="AX13" s="45">
        <f t="shared" si="10"/>
        <v>0</v>
      </c>
      <c r="AY13" s="45">
        <f t="shared" si="11"/>
        <v>0</v>
      </c>
      <c r="AZ13" s="45">
        <f t="shared" si="12"/>
        <v>0</v>
      </c>
      <c r="BA13" s="49">
        <f t="shared" si="13"/>
        <v>0</v>
      </c>
      <c r="BB13" s="8"/>
    </row>
    <row r="14" ht="20.1" customHeight="1" hidden="1" spans="1:54" x14ac:dyDescent="0.25">
      <c r="A14" s="20" t="s">
        <v>29</v>
      </c>
      <c r="B14" s="24"/>
      <c r="C14" s="38" t="s">
        <v>33</v>
      </c>
      <c r="D14" s="39"/>
      <c r="E14" s="40"/>
      <c r="F14" s="38" t="s">
        <v>31</v>
      </c>
      <c r="G14" s="39"/>
      <c r="H14" s="39"/>
      <c r="I14" s="40"/>
      <c r="J14" s="41">
        <v>22</v>
      </c>
      <c r="K14" s="23">
        <v>20</v>
      </c>
      <c r="L14" s="22"/>
      <c r="M14" s="42">
        <f>J14+K14</f>
      </c>
      <c r="N14" s="20">
        <v>21</v>
      </c>
      <c r="O14" s="22"/>
      <c r="P14" s="45">
        <v>19.5</v>
      </c>
      <c r="Q14" s="46">
        <f>N14+P14</f>
      </c>
      <c r="R14" s="47">
        <f>IF(J14&gt;0,N14/J14,0)</f>
      </c>
      <c r="S14" s="47">
        <f>IF(K14&gt;0,P14/K14,0)</f>
      </c>
      <c r="T14" s="48">
        <f>IF(Q14&gt;0,(R14+S14)/2,0)</f>
      </c>
      <c r="U14" s="20"/>
      <c r="V14" s="22"/>
      <c r="W14" s="23"/>
      <c r="X14" s="22"/>
      <c r="Y14" s="45">
        <f t="shared" si="0"/>
        <v>0</v>
      </c>
      <c r="Z14" s="45"/>
      <c r="AA14" s="45"/>
      <c r="AB14" s="23">
        <f t="shared" si="1"/>
        <v>0</v>
      </c>
      <c r="AC14" s="22"/>
      <c r="AD14" s="45">
        <f t="shared" si="2"/>
        <v>0</v>
      </c>
      <c r="AE14" s="45">
        <f t="shared" si="3"/>
        <v>0</v>
      </c>
      <c r="AF14" s="49">
        <f t="shared" si="4"/>
        <v>0</v>
      </c>
      <c r="AG14" s="41"/>
      <c r="AH14" s="45"/>
      <c r="AI14" s="23"/>
      <c r="AJ14" s="22"/>
      <c r="AK14" s="45"/>
      <c r="AL14" s="45"/>
      <c r="AM14" s="45">
        <f t="shared" si="5"/>
        <v>0</v>
      </c>
      <c r="AN14" s="45">
        <f t="shared" si="6"/>
        <v>0</v>
      </c>
      <c r="AO14" s="23">
        <f t="shared" si="7"/>
        <v>0</v>
      </c>
      <c r="AP14" s="22"/>
      <c r="AQ14" s="23">
        <f t="shared" si="8"/>
        <v>0</v>
      </c>
      <c r="AR14" s="24"/>
      <c r="AS14" s="41"/>
      <c r="AT14" s="45"/>
      <c r="AU14" s="45">
        <f t="shared" si="9"/>
        <v>0</v>
      </c>
      <c r="AV14" s="45"/>
      <c r="AW14" s="45"/>
      <c r="AX14" s="45">
        <f t="shared" si="10"/>
        <v>0</v>
      </c>
      <c r="AY14" s="45">
        <f t="shared" si="11"/>
        <v>0</v>
      </c>
      <c r="AZ14" s="45">
        <f t="shared" si="12"/>
        <v>0</v>
      </c>
      <c r="BA14" s="49">
        <f t="shared" si="13"/>
        <v>0</v>
      </c>
      <c r="BB14" s="8"/>
    </row>
    <row r="15" ht="20.1" customHeight="1" spans="1:54" x14ac:dyDescent="0.25">
      <c r="A15" s="20" t="s">
        <v>29</v>
      </c>
      <c r="B15" s="24"/>
      <c r="C15" s="38" t="s">
        <v>34</v>
      </c>
      <c r="D15" s="39"/>
      <c r="E15" s="40"/>
      <c r="F15" s="38" t="s">
        <v>31</v>
      </c>
      <c r="G15" s="39"/>
      <c r="H15" s="39"/>
      <c r="I15" s="40"/>
      <c r="J15" s="41">
        <v>22</v>
      </c>
      <c r="K15" s="23">
        <v>20</v>
      </c>
      <c r="L15" s="22"/>
      <c r="M15" s="42">
        <f>J15+K15</f>
      </c>
      <c r="N15" s="20">
        <v>21</v>
      </c>
      <c r="O15" s="22"/>
      <c r="P15" s="45">
        <v>19.5</v>
      </c>
      <c r="Q15" s="46">
        <f>N15+P15</f>
      </c>
      <c r="R15" s="47">
        <f>IF(J15&gt;0,N15/J15,0)</f>
      </c>
      <c r="S15" s="47">
        <f>IF(K15&gt;0,P15/K15,0)</f>
      </c>
      <c r="T15" s="48">
        <f>IF(Q15&gt;0,(R15+S15)/2,0)</f>
      </c>
      <c r="U15" s="20"/>
      <c r="V15" s="22"/>
      <c r="W15" s="23"/>
      <c r="X15" s="22"/>
      <c r="Y15" s="45">
        <f t="shared" si="0"/>
        <v>0</v>
      </c>
      <c r="Z15" s="45"/>
      <c r="AA15" s="45"/>
      <c r="AB15" s="23">
        <f t="shared" si="1"/>
        <v>0</v>
      </c>
      <c r="AC15" s="22"/>
      <c r="AD15" s="45">
        <f t="shared" si="2"/>
        <v>0</v>
      </c>
      <c r="AE15" s="45">
        <f t="shared" si="3"/>
        <v>0</v>
      </c>
      <c r="AF15" s="49">
        <f t="shared" si="4"/>
        <v>0</v>
      </c>
      <c r="AG15" s="41"/>
      <c r="AH15" s="45"/>
      <c r="AI15" s="23"/>
      <c r="AJ15" s="22"/>
      <c r="AK15" s="45"/>
      <c r="AL15" s="45"/>
      <c r="AM15" s="45">
        <f t="shared" si="5"/>
        <v>0</v>
      </c>
      <c r="AN15" s="45">
        <f t="shared" si="6"/>
        <v>0</v>
      </c>
      <c r="AO15" s="23">
        <f t="shared" si="7"/>
        <v>0</v>
      </c>
      <c r="AP15" s="22"/>
      <c r="AQ15" s="23">
        <f t="shared" si="8"/>
        <v>0</v>
      </c>
      <c r="AR15" s="24"/>
      <c r="AS15" s="41"/>
      <c r="AT15" s="45"/>
      <c r="AU15" s="45">
        <f t="shared" si="9"/>
        <v>0</v>
      </c>
      <c r="AV15" s="45"/>
      <c r="AW15" s="45"/>
      <c r="AX15" s="45">
        <f t="shared" si="10"/>
        <v>0</v>
      </c>
      <c r="AY15" s="45">
        <f t="shared" si="11"/>
        <v>0</v>
      </c>
      <c r="AZ15" s="45">
        <f t="shared" si="12"/>
        <v>0</v>
      </c>
      <c r="BA15" s="49">
        <f t="shared" si="13"/>
        <v>0</v>
      </c>
      <c r="BB15" s="8"/>
    </row>
    <row r="16" ht="20.1" customHeight="1" hidden="1" spans="1:54" x14ac:dyDescent="0.25">
      <c r="A16" s="20" t="s">
        <v>35</v>
      </c>
      <c r="B16" s="24"/>
      <c r="C16" s="38" t="s">
        <v>36</v>
      </c>
      <c r="D16" s="39"/>
      <c r="E16" s="40"/>
      <c r="F16" s="38" t="s">
        <v>37</v>
      </c>
      <c r="G16" s="39"/>
      <c r="H16" s="39"/>
      <c r="I16" s="40"/>
      <c r="J16" s="41">
        <v>18</v>
      </c>
      <c r="K16" s="23">
        <v>22</v>
      </c>
      <c r="L16" s="22"/>
      <c r="M16" s="42">
        <f>J16+K16</f>
      </c>
      <c r="N16" s="20">
        <v>17.5</v>
      </c>
      <c r="O16" s="22"/>
      <c r="P16" s="45">
        <v>21</v>
      </c>
      <c r="Q16" s="46">
        <f>N16+P16</f>
      </c>
      <c r="R16" s="47">
        <f>IF(J16&gt;0,N16/J16,0)</f>
      </c>
      <c r="S16" s="47">
        <f>IF(K16&gt;0,P16/K16,0)</f>
      </c>
      <c r="T16" s="48">
        <f>IF(Q16&gt;0,(R16+S16)/2,0)</f>
      </c>
      <c r="U16" s="20"/>
      <c r="V16" s="22"/>
      <c r="W16" s="23"/>
      <c r="X16" s="22"/>
      <c r="Y16" s="45">
        <f t="shared" si="0"/>
        <v>0</v>
      </c>
      <c r="Z16" s="45"/>
      <c r="AA16" s="45"/>
      <c r="AB16" s="23">
        <f t="shared" si="1"/>
        <v>0</v>
      </c>
      <c r="AC16" s="22"/>
      <c r="AD16" s="45">
        <f t="shared" si="2"/>
        <v>0</v>
      </c>
      <c r="AE16" s="45">
        <f t="shared" si="3"/>
        <v>0</v>
      </c>
      <c r="AF16" s="49">
        <f t="shared" si="4"/>
        <v>0</v>
      </c>
      <c r="AG16" s="41"/>
      <c r="AH16" s="45"/>
      <c r="AI16" s="23"/>
      <c r="AJ16" s="22"/>
      <c r="AK16" s="45"/>
      <c r="AL16" s="45"/>
      <c r="AM16" s="45">
        <f t="shared" si="5"/>
        <v>0</v>
      </c>
      <c r="AN16" s="45">
        <f t="shared" si="6"/>
        <v>0</v>
      </c>
      <c r="AO16" s="23">
        <f t="shared" si="7"/>
        <v>0</v>
      </c>
      <c r="AP16" s="22"/>
      <c r="AQ16" s="23">
        <f t="shared" si="8"/>
        <v>0</v>
      </c>
      <c r="AR16" s="24"/>
      <c r="AS16" s="41"/>
      <c r="AT16" s="45"/>
      <c r="AU16" s="45">
        <f t="shared" si="9"/>
        <v>0</v>
      </c>
      <c r="AV16" s="45"/>
      <c r="AW16" s="45"/>
      <c r="AX16" s="45">
        <f t="shared" si="10"/>
        <v>0</v>
      </c>
      <c r="AY16" s="45">
        <f t="shared" si="11"/>
        <v>0</v>
      </c>
      <c r="AZ16" s="45">
        <f t="shared" si="12"/>
        <v>0</v>
      </c>
      <c r="BA16" s="49">
        <f t="shared" si="13"/>
        <v>0</v>
      </c>
      <c r="BB16" s="8"/>
    </row>
    <row r="17" ht="20.1" customHeight="1" spans="1:54" x14ac:dyDescent="0.25">
      <c r="A17" s="20" t="s">
        <v>35</v>
      </c>
      <c r="B17" s="24"/>
      <c r="C17" s="38" t="s">
        <v>38</v>
      </c>
      <c r="D17" s="39"/>
      <c r="E17" s="40"/>
      <c r="F17" s="38" t="s">
        <v>37</v>
      </c>
      <c r="G17" s="39"/>
      <c r="H17" s="39"/>
      <c r="I17" s="40"/>
      <c r="J17" s="41">
        <v>18</v>
      </c>
      <c r="K17" s="23">
        <v>22</v>
      </c>
      <c r="L17" s="22"/>
      <c r="M17" s="42">
        <f>J17+K17</f>
      </c>
      <c r="N17" s="20">
        <v>17.5</v>
      </c>
      <c r="O17" s="22"/>
      <c r="P17" s="45">
        <v>21</v>
      </c>
      <c r="Q17" s="46">
        <f>N17+P17</f>
      </c>
      <c r="R17" s="47">
        <f>IF(J17&gt;0,N17/J17,0)</f>
      </c>
      <c r="S17" s="47">
        <f>IF(K17&gt;0,P17/K17,0)</f>
      </c>
      <c r="T17" s="48">
        <f>IF(Q17&gt;0,(R17+S17)/2,0)</f>
      </c>
      <c r="U17" s="20"/>
      <c r="V17" s="22"/>
      <c r="W17" s="23"/>
      <c r="X17" s="22"/>
      <c r="Y17" s="45">
        <f t="shared" si="0"/>
        <v>0</v>
      </c>
      <c r="Z17" s="45"/>
      <c r="AA17" s="45"/>
      <c r="AB17" s="23">
        <f t="shared" si="1"/>
        <v>0</v>
      </c>
      <c r="AC17" s="22"/>
      <c r="AD17" s="45">
        <f t="shared" si="2"/>
        <v>0</v>
      </c>
      <c r="AE17" s="45">
        <f t="shared" si="3"/>
        <v>0</v>
      </c>
      <c r="AF17" s="49">
        <f t="shared" si="4"/>
        <v>0</v>
      </c>
      <c r="AG17" s="41"/>
      <c r="AH17" s="45"/>
      <c r="AI17" s="23"/>
      <c r="AJ17" s="22"/>
      <c r="AK17" s="45"/>
      <c r="AL17" s="45"/>
      <c r="AM17" s="45">
        <f t="shared" si="5"/>
        <v>0</v>
      </c>
      <c r="AN17" s="45">
        <f t="shared" si="6"/>
        <v>0</v>
      </c>
      <c r="AO17" s="23">
        <f t="shared" si="7"/>
        <v>0</v>
      </c>
      <c r="AP17" s="22"/>
      <c r="AQ17" s="23">
        <f t="shared" si="8"/>
        <v>0</v>
      </c>
      <c r="AR17" s="24"/>
      <c r="AS17" s="41"/>
      <c r="AT17" s="45"/>
      <c r="AU17" s="45">
        <f t="shared" si="9"/>
        <v>0</v>
      </c>
      <c r="AV17" s="45"/>
      <c r="AW17" s="45"/>
      <c r="AX17" s="45">
        <f t="shared" si="10"/>
        <v>0</v>
      </c>
      <c r="AY17" s="45">
        <f t="shared" si="11"/>
        <v>0</v>
      </c>
      <c r="AZ17" s="45">
        <f t="shared" si="12"/>
        <v>0</v>
      </c>
      <c r="BA17" s="49">
        <f t="shared" si="13"/>
        <v>0</v>
      </c>
      <c r="BB17" s="8"/>
    </row>
    <row r="18" ht="20.1" customHeight="1" spans="1:54" x14ac:dyDescent="0.25">
      <c r="A18" s="20" t="s">
        <v>35</v>
      </c>
      <c r="B18" s="24"/>
      <c r="C18" s="38" t="s">
        <v>39</v>
      </c>
      <c r="D18" s="39"/>
      <c r="E18" s="40"/>
      <c r="F18" s="38" t="s">
        <v>37</v>
      </c>
      <c r="G18" s="39"/>
      <c r="H18" s="39"/>
      <c r="I18" s="40"/>
      <c r="J18" s="41">
        <v>18</v>
      </c>
      <c r="K18" s="23">
        <v>22</v>
      </c>
      <c r="L18" s="22"/>
      <c r="M18" s="42">
        <f>J18+K18</f>
      </c>
      <c r="N18" s="20">
        <v>17.5</v>
      </c>
      <c r="O18" s="22"/>
      <c r="P18" s="45">
        <v>21</v>
      </c>
      <c r="Q18" s="46">
        <f>N18+P18</f>
      </c>
      <c r="R18" s="47">
        <f>IF(J18&gt;0,N18/J18,0)</f>
      </c>
      <c r="S18" s="47">
        <f>IF(K18&gt;0,P18/K18,0)</f>
      </c>
      <c r="T18" s="48">
        <f>IF(Q18&gt;0,(R18+S18)/2,0)</f>
      </c>
      <c r="U18" s="20"/>
      <c r="V18" s="22"/>
      <c r="W18" s="23"/>
      <c r="X18" s="22"/>
      <c r="Y18" s="45">
        <f t="shared" si="0"/>
        <v>0</v>
      </c>
      <c r="Z18" s="45"/>
      <c r="AA18" s="45"/>
      <c r="AB18" s="23">
        <f t="shared" si="1"/>
        <v>0</v>
      </c>
      <c r="AC18" s="22"/>
      <c r="AD18" s="45">
        <f t="shared" si="2"/>
        <v>0</v>
      </c>
      <c r="AE18" s="45">
        <f t="shared" si="3"/>
        <v>0</v>
      </c>
      <c r="AF18" s="49">
        <f t="shared" si="4"/>
        <v>0</v>
      </c>
      <c r="AG18" s="41"/>
      <c r="AH18" s="45"/>
      <c r="AI18" s="23"/>
      <c r="AJ18" s="22"/>
      <c r="AK18" s="45"/>
      <c r="AL18" s="45"/>
      <c r="AM18" s="45">
        <f t="shared" si="5"/>
        <v>0</v>
      </c>
      <c r="AN18" s="45">
        <f t="shared" si="6"/>
        <v>0</v>
      </c>
      <c r="AO18" s="23">
        <f t="shared" si="7"/>
        <v>0</v>
      </c>
      <c r="AP18" s="22"/>
      <c r="AQ18" s="23">
        <f t="shared" si="8"/>
        <v>0</v>
      </c>
      <c r="AR18" s="24"/>
      <c r="AS18" s="41"/>
      <c r="AT18" s="45"/>
      <c r="AU18" s="45">
        <f t="shared" si="9"/>
        <v>0</v>
      </c>
      <c r="AV18" s="45"/>
      <c r="AW18" s="45"/>
      <c r="AX18" s="45">
        <f t="shared" si="10"/>
        <v>0</v>
      </c>
      <c r="AY18" s="45">
        <f t="shared" si="11"/>
        <v>0</v>
      </c>
      <c r="AZ18" s="45">
        <f t="shared" si="12"/>
        <v>0</v>
      </c>
      <c r="BA18" s="49">
        <f t="shared" si="13"/>
        <v>0</v>
      </c>
      <c r="BB18" s="8"/>
    </row>
    <row r="19" ht="20.1" customHeight="1" hidden="1" spans="1:54" x14ac:dyDescent="0.25">
      <c r="A19" s="20" t="s">
        <v>35</v>
      </c>
      <c r="B19" s="24"/>
      <c r="C19" s="38" t="s">
        <v>40</v>
      </c>
      <c r="D19" s="39"/>
      <c r="E19" s="40"/>
      <c r="F19" s="38" t="s">
        <v>37</v>
      </c>
      <c r="G19" s="39"/>
      <c r="H19" s="39"/>
      <c r="I19" s="40"/>
      <c r="J19" s="41">
        <v>18</v>
      </c>
      <c r="K19" s="23">
        <v>22</v>
      </c>
      <c r="L19" s="22"/>
      <c r="M19" s="42">
        <f>J19+K19</f>
      </c>
      <c r="N19" s="20">
        <v>17.5</v>
      </c>
      <c r="O19" s="22"/>
      <c r="P19" s="45">
        <v>21</v>
      </c>
      <c r="Q19" s="46">
        <f>N19+P19</f>
      </c>
      <c r="R19" s="47">
        <f>IF(J19&gt;0,N19/J19,0)</f>
      </c>
      <c r="S19" s="47">
        <f>IF(K19&gt;0,P19/K19,0)</f>
      </c>
      <c r="T19" s="48">
        <f>IF(Q19&gt;0,(R19+S19)/2,0)</f>
      </c>
      <c r="U19" s="20"/>
      <c r="V19" s="22"/>
      <c r="W19" s="23"/>
      <c r="X19" s="22"/>
      <c r="Y19" s="45">
        <f t="shared" si="0"/>
        <v>0</v>
      </c>
      <c r="Z19" s="45"/>
      <c r="AA19" s="45"/>
      <c r="AB19" s="23">
        <f t="shared" si="1"/>
        <v>0</v>
      </c>
      <c r="AC19" s="22"/>
      <c r="AD19" s="45">
        <f t="shared" si="2"/>
        <v>0</v>
      </c>
      <c r="AE19" s="45">
        <f t="shared" si="3"/>
        <v>0</v>
      </c>
      <c r="AF19" s="49">
        <f t="shared" si="4"/>
        <v>0</v>
      </c>
      <c r="AG19" s="41"/>
      <c r="AH19" s="45"/>
      <c r="AI19" s="23"/>
      <c r="AJ19" s="22"/>
      <c r="AK19" s="45"/>
      <c r="AL19" s="45"/>
      <c r="AM19" s="45">
        <f t="shared" si="5"/>
        <v>0</v>
      </c>
      <c r="AN19" s="45">
        <f t="shared" si="6"/>
        <v>0</v>
      </c>
      <c r="AO19" s="23">
        <f t="shared" si="7"/>
        <v>0</v>
      </c>
      <c r="AP19" s="22"/>
      <c r="AQ19" s="23">
        <f t="shared" si="8"/>
        <v>0</v>
      </c>
      <c r="AR19" s="24"/>
      <c r="AS19" s="41"/>
      <c r="AT19" s="45"/>
      <c r="AU19" s="45">
        <f t="shared" si="9"/>
        <v>0</v>
      </c>
      <c r="AV19" s="45"/>
      <c r="AW19" s="45"/>
      <c r="AX19" s="45">
        <f t="shared" si="10"/>
        <v>0</v>
      </c>
      <c r="AY19" s="45">
        <f t="shared" si="11"/>
        <v>0</v>
      </c>
      <c r="AZ19" s="45">
        <f t="shared" si="12"/>
        <v>0</v>
      </c>
      <c r="BA19" s="49">
        <f t="shared" si="13"/>
        <v>0</v>
      </c>
      <c r="BB19" s="8"/>
    </row>
    <row r="20" ht="20.1" customHeight="1" spans="1:54" x14ac:dyDescent="0.25">
      <c r="A20" s="20" t="s">
        <v>41</v>
      </c>
      <c r="B20" s="24"/>
      <c r="C20" s="38" t="s">
        <v>42</v>
      </c>
      <c r="D20" s="39"/>
      <c r="E20" s="40"/>
      <c r="F20" s="38" t="s">
        <v>43</v>
      </c>
      <c r="G20" s="39"/>
      <c r="H20" s="39"/>
      <c r="I20" s="40"/>
      <c r="J20" s="41">
        <v>21</v>
      </c>
      <c r="K20" s="23">
        <v>19</v>
      </c>
      <c r="L20" s="22"/>
      <c r="M20" s="42">
        <f>J20+K20</f>
      </c>
      <c r="N20" s="35">
        <v>20</v>
      </c>
      <c r="O20" s="33"/>
      <c r="P20" s="45">
        <v>18.5</v>
      </c>
      <c r="Q20" s="46">
        <f>N20+P20</f>
      </c>
      <c r="R20" s="47">
        <f>IF(J20&gt;0,N20/J20,0)</f>
      </c>
      <c r="S20" s="47">
        <f>IF(K20&gt;0,P20/K20,0)</f>
      </c>
      <c r="T20" s="48">
        <f>IF(Q20&gt;0,(R20+S20)/2,0)</f>
      </c>
      <c r="U20" s="20"/>
      <c r="V20" s="22"/>
      <c r="W20" s="23"/>
      <c r="X20" s="22"/>
      <c r="Y20" s="45">
        <f t="shared" si="0"/>
        <v>0</v>
      </c>
      <c r="Z20" s="45"/>
      <c r="AA20" s="45"/>
      <c r="AB20" s="23">
        <f t="shared" si="1"/>
        <v>0</v>
      </c>
      <c r="AC20" s="22"/>
      <c r="AD20" s="45">
        <f t="shared" si="2"/>
        <v>0</v>
      </c>
      <c r="AE20" s="45">
        <f t="shared" si="3"/>
        <v>0</v>
      </c>
      <c r="AF20" s="49">
        <f t="shared" si="4"/>
        <v>0</v>
      </c>
      <c r="AG20" s="41"/>
      <c r="AH20" s="45"/>
      <c r="AI20" s="23"/>
      <c r="AJ20" s="22"/>
      <c r="AK20" s="45"/>
      <c r="AL20" s="45"/>
      <c r="AM20" s="45">
        <f t="shared" si="5"/>
        <v>0</v>
      </c>
      <c r="AN20" s="45">
        <f t="shared" si="6"/>
        <v>0</v>
      </c>
      <c r="AO20" s="23">
        <f t="shared" si="7"/>
        <v>0</v>
      </c>
      <c r="AP20" s="22"/>
      <c r="AQ20" s="23">
        <f t="shared" si="8"/>
        <v>0</v>
      </c>
      <c r="AR20" s="24"/>
      <c r="AS20" s="41"/>
      <c r="AT20" s="45"/>
      <c r="AU20" s="45">
        <f t="shared" si="9"/>
        <v>0</v>
      </c>
      <c r="AV20" s="45"/>
      <c r="AW20" s="45"/>
      <c r="AX20" s="45">
        <f t="shared" si="10"/>
        <v>0</v>
      </c>
      <c r="AY20" s="45">
        <f t="shared" si="11"/>
        <v>0</v>
      </c>
      <c r="AZ20" s="45">
        <f t="shared" si="12"/>
        <v>0</v>
      </c>
      <c r="BA20" s="49">
        <f t="shared" si="13"/>
        <v>0</v>
      </c>
      <c r="BB20" s="8"/>
    </row>
    <row r="21" ht="20.1" customHeight="1" spans="1:20" x14ac:dyDescent="0.25">
      <c r="A21" t="s">
        <v>41</v>
      </c>
      <c r="C21" t="s">
        <v>44</v>
      </c>
      <c r="F21" t="s">
        <v>43</v>
      </c>
      <c r="J21" s="50">
        <v>21</v>
      </c>
      <c r="K21" s="50">
        <v>19</v>
      </c>
      <c r="M21" s="50">
        <f>J21+K21</f>
      </c>
      <c r="N21" s="51">
        <v>20</v>
      </c>
      <c r="P21" s="51">
        <v>18.5</v>
      </c>
      <c r="Q21" s="51">
        <f>N21+P21</f>
      </c>
      <c r="R21" s="52">
        <f>IF(J21&gt;0,N21/J21,0)</f>
      </c>
      <c r="S21" s="52">
        <f>IF(K21&gt;0,P21/K21,0)</f>
      </c>
      <c r="T21" s="52">
        <f>IF(Q21&gt;0,(R21+S21)/2,0)</f>
      </c>
    </row>
    <row r="22" ht="20.1" customHeight="1" spans="1:20" x14ac:dyDescent="0.25">
      <c r="A22" t="s">
        <v>41</v>
      </c>
      <c r="C22" t="s">
        <v>45</v>
      </c>
      <c r="F22" t="s">
        <v>43</v>
      </c>
      <c r="J22" s="50">
        <v>21</v>
      </c>
      <c r="K22" s="50">
        <v>19</v>
      </c>
      <c r="M22" s="50">
        <f>J22+K22</f>
      </c>
      <c r="N22" s="51">
        <v>20</v>
      </c>
      <c r="P22" s="51">
        <v>18.5</v>
      </c>
      <c r="Q22" s="51">
        <f>N22+P22</f>
      </c>
      <c r="R22" s="52">
        <f>IF(J22&gt;0,N22/J22,0)</f>
      </c>
      <c r="S22" s="52">
        <f>IF(K22&gt;0,P22/K22,0)</f>
      </c>
      <c r="T22" s="52">
        <f>IF(Q22&gt;0,(R22+S22)/2,0)</f>
      </c>
    </row>
    <row r="23" ht="20.1" customHeight="1" spans="1:20" x14ac:dyDescent="0.25">
      <c r="A23" t="s">
        <v>41</v>
      </c>
      <c r="C23" t="s">
        <v>46</v>
      </c>
      <c r="F23" t="s">
        <v>43</v>
      </c>
      <c r="J23" s="50">
        <v>21</v>
      </c>
      <c r="K23" s="50">
        <v>19</v>
      </c>
      <c r="M23" s="50">
        <f>J23+K23</f>
      </c>
      <c r="N23" s="51">
        <v>20</v>
      </c>
      <c r="P23" s="51">
        <v>18.5</v>
      </c>
      <c r="Q23" s="51">
        <f>N23+P23</f>
      </c>
      <c r="R23" s="52">
        <f>IF(J23&gt;0,N23/J23,0)</f>
      </c>
      <c r="S23" s="52">
        <f>IF(K23&gt;0,P23/K23,0)</f>
      </c>
      <c r="T23" s="52">
        <f>IF(Q23&gt;0,(R23+S23)/2,0)</f>
      </c>
    </row>
    <row r="24" ht="20.1" customHeight="1" spans="1:54" x14ac:dyDescent="0.25">
      <c r="A24" s="53" t="s">
        <v>47</v>
      </c>
      <c r="B24" s="53"/>
      <c r="C24" s="53"/>
      <c r="D24" s="53"/>
      <c r="E24" s="53"/>
      <c r="F24" s="53"/>
      <c r="G24" s="53"/>
      <c r="H24" s="53"/>
      <c r="I24" s="53"/>
      <c r="J24" s="54" t="s">
        <v>48</v>
      </c>
      <c r="K24" s="55" t="s">
        <v>48</v>
      </c>
      <c r="L24" s="55"/>
      <c r="M24" s="54" t="s">
        <v>48</v>
      </c>
      <c r="N24" s="55" t="s">
        <v>48</v>
      </c>
      <c r="O24" s="55"/>
      <c r="P24" s="54" t="s">
        <v>48</v>
      </c>
      <c r="Q24" s="54" t="s">
        <v>48</v>
      </c>
      <c r="R24" s="54" t="s">
        <v>48</v>
      </c>
      <c r="S24" s="54" t="s">
        <v>48</v>
      </c>
      <c r="T24" s="54" t="s">
        <v>48</v>
      </c>
      <c r="U24" s="55" t="s">
        <v>48</v>
      </c>
      <c r="V24" s="55"/>
      <c r="W24" s="55" t="s">
        <v>48</v>
      </c>
      <c r="X24" s="55"/>
      <c r="Y24" s="54" t="s">
        <v>48</v>
      </c>
      <c r="Z24" s="54" t="s">
        <v>48</v>
      </c>
      <c r="AA24" s="54" t="s">
        <v>48</v>
      </c>
      <c r="AB24" s="55" t="s">
        <v>48</v>
      </c>
      <c r="AC24" s="55"/>
      <c r="AD24" s="54" t="s">
        <v>48</v>
      </c>
      <c r="AE24" s="54" t="s">
        <v>48</v>
      </c>
      <c r="AF24" s="54" t="s">
        <v>48</v>
      </c>
      <c r="AG24" s="54" t="s">
        <v>48</v>
      </c>
      <c r="AH24" s="54" t="s">
        <v>48</v>
      </c>
      <c r="AI24" s="55" t="s">
        <v>48</v>
      </c>
      <c r="AJ24" s="55"/>
      <c r="AK24" s="54" t="s">
        <v>48</v>
      </c>
      <c r="AL24" s="54" t="s">
        <v>48</v>
      </c>
      <c r="AM24" s="54" t="s">
        <v>48</v>
      </c>
      <c r="AN24" s="54" t="s">
        <v>48</v>
      </c>
      <c r="AO24" s="55" t="s">
        <v>48</v>
      </c>
      <c r="AP24" s="55"/>
      <c r="AQ24" s="55" t="s">
        <v>48</v>
      </c>
      <c r="AR24" s="55"/>
      <c r="AS24" s="54" t="s">
        <v>48</v>
      </c>
      <c r="AT24" s="54" t="s">
        <v>48</v>
      </c>
      <c r="AU24" s="54" t="s">
        <v>48</v>
      </c>
      <c r="AV24" s="54" t="s">
        <v>48</v>
      </c>
      <c r="AW24" s="54" t="s">
        <v>48</v>
      </c>
      <c r="AX24" s="54" t="s">
        <v>48</v>
      </c>
      <c r="AY24" s="54" t="s">
        <v>48</v>
      </c>
      <c r="AZ24" s="54" t="s">
        <v>48</v>
      </c>
      <c r="BA24" s="56" t="s">
        <v>48</v>
      </c>
      <c r="BB24" s="8"/>
    </row>
    <row r="25" ht="20.1" customHeight="1" spans="1:54" x14ac:dyDescent="0.25">
      <c r="A25" s="12" t="s">
        <v>49</v>
      </c>
      <c r="B25" s="12"/>
      <c r="C25" s="12"/>
      <c r="D25" s="12"/>
      <c r="E25" s="12"/>
      <c r="F25" s="12"/>
      <c r="G25" s="12"/>
      <c r="H25" s="12"/>
      <c r="I25" s="12"/>
      <c r="J25" s="57">
        <f>J8+J9+J10+J11</f>
      </c>
      <c r="K25" s="58">
        <f>K8+K9+K10+K11</f>
      </c>
      <c r="L25" s="58"/>
      <c r="M25" s="42">
        <f>J25+K25</f>
      </c>
      <c r="N25" s="59">
        <f>N8+N9+N10+N11</f>
      </c>
      <c r="O25" s="59"/>
      <c r="P25" s="60">
        <f>P8+P9+P10+P11</f>
      </c>
      <c r="Q25" s="46">
        <f>N25+P25</f>
      </c>
      <c r="R25" s="61">
        <f>IF(J25&gt;0,N25/J25,0)</f>
      </c>
      <c r="S25" s="61">
        <f>IF(K25&gt;0,P25/K25,0)</f>
      </c>
      <c r="T25" s="48">
        <f>IF(M25&gt;0,(R25+S25)/2,0)</f>
      </c>
      <c r="U25" s="20" t="s">
        <v>48</v>
      </c>
      <c r="V25" s="20"/>
      <c r="W25" s="23" t="s">
        <v>48</v>
      </c>
      <c r="X25" s="23"/>
      <c r="Y25" s="45" t="s">
        <v>48</v>
      </c>
      <c r="Z25" s="45" t="s">
        <v>48</v>
      </c>
      <c r="AA25" s="45" t="s">
        <v>48</v>
      </c>
      <c r="AB25" s="23" t="s">
        <v>48</v>
      </c>
      <c r="AC25" s="23"/>
      <c r="AD25" s="45" t="s">
        <v>48</v>
      </c>
      <c r="AE25" s="45" t="s">
        <v>48</v>
      </c>
      <c r="AF25" s="49" t="s">
        <v>48</v>
      </c>
      <c r="AG25" s="41" t="s">
        <v>48</v>
      </c>
      <c r="AH25" s="45" t="s">
        <v>48</v>
      </c>
      <c r="AI25" s="23" t="s">
        <v>48</v>
      </c>
      <c r="AJ25" s="23"/>
      <c r="AK25" s="45" t="s">
        <v>48</v>
      </c>
      <c r="AL25" s="45" t="s">
        <v>48</v>
      </c>
      <c r="AM25" s="45" t="s">
        <v>48</v>
      </c>
      <c r="AN25" s="45" t="s">
        <v>48</v>
      </c>
      <c r="AO25" s="23" t="s">
        <v>48</v>
      </c>
      <c r="AP25" s="23"/>
      <c r="AQ25" s="23" t="s">
        <v>48</v>
      </c>
      <c r="AR25" s="23"/>
      <c r="AS25" s="41" t="s">
        <v>48</v>
      </c>
      <c r="AT25" s="45" t="s">
        <v>48</v>
      </c>
      <c r="AU25" s="45" t="s">
        <v>48</v>
      </c>
      <c r="AV25" s="45" t="s">
        <v>48</v>
      </c>
      <c r="AW25" s="45" t="s">
        <v>48</v>
      </c>
      <c r="AX25" s="45" t="s">
        <v>48</v>
      </c>
      <c r="AY25" s="45" t="s">
        <v>48</v>
      </c>
      <c r="AZ25" s="45" t="s">
        <v>48</v>
      </c>
      <c r="BA25" s="49" t="s">
        <v>48</v>
      </c>
      <c r="BB25" s="8"/>
    </row>
    <row r="26" ht="20.1" customHeight="1" spans="1:54" x14ac:dyDescent="0.25">
      <c r="A26" s="12" t="s">
        <v>50</v>
      </c>
      <c r="B26" s="12"/>
      <c r="C26" s="12"/>
      <c r="D26" s="12"/>
      <c r="E26" s="12"/>
      <c r="F26" s="12"/>
      <c r="G26" s="12"/>
      <c r="H26" s="12"/>
      <c r="I26" s="12"/>
      <c r="J26" s="57">
        <f>J12+J13+J14+J15</f>
      </c>
      <c r="K26" s="62">
        <f>K12+K13+K14+K15</f>
      </c>
      <c r="L26" s="62"/>
      <c r="M26" s="42">
        <f>J26+K26</f>
      </c>
      <c r="N26" s="59">
        <f>N12+N13+N14+N15</f>
      </c>
      <c r="O26" s="59"/>
      <c r="P26" s="60">
        <f>P12+P13+P14+P15</f>
      </c>
      <c r="Q26" s="46">
        <f>N26+P26</f>
      </c>
      <c r="R26" s="61">
        <f>IF(J26&gt;0,N26/J26,0)</f>
      </c>
      <c r="S26" s="61">
        <f>IF(K26&gt;0,P26/K26,0)</f>
      </c>
      <c r="T26" s="48">
        <f>IF(M26&gt;0,(R26+S26)/2,0)</f>
      </c>
      <c r="U26" s="20" t="s">
        <v>48</v>
      </c>
      <c r="V26" s="20"/>
      <c r="W26" s="23" t="s">
        <v>48</v>
      </c>
      <c r="X26" s="23"/>
      <c r="Y26" s="45" t="s">
        <v>48</v>
      </c>
      <c r="Z26" s="45" t="s">
        <v>48</v>
      </c>
      <c r="AA26" s="45" t="s">
        <v>48</v>
      </c>
      <c r="AB26" s="23" t="s">
        <v>48</v>
      </c>
      <c r="AC26" s="23"/>
      <c r="AD26" s="45" t="s">
        <v>48</v>
      </c>
      <c r="AE26" s="45" t="s">
        <v>48</v>
      </c>
      <c r="AF26" s="49" t="s">
        <v>48</v>
      </c>
      <c r="AG26" s="41" t="s">
        <v>48</v>
      </c>
      <c r="AH26" s="45" t="s">
        <v>48</v>
      </c>
      <c r="AI26" s="23" t="s">
        <v>48</v>
      </c>
      <c r="AJ26" s="23"/>
      <c r="AK26" s="45" t="s">
        <v>48</v>
      </c>
      <c r="AL26" s="45" t="s">
        <v>48</v>
      </c>
      <c r="AM26" s="45" t="s">
        <v>48</v>
      </c>
      <c r="AN26" s="45" t="s">
        <v>48</v>
      </c>
      <c r="AO26" s="23" t="s">
        <v>48</v>
      </c>
      <c r="AP26" s="23"/>
      <c r="AQ26" s="23" t="s">
        <v>48</v>
      </c>
      <c r="AR26" s="23"/>
      <c r="AS26" s="41" t="s">
        <v>48</v>
      </c>
      <c r="AT26" s="45" t="s">
        <v>48</v>
      </c>
      <c r="AU26" s="45" t="s">
        <v>48</v>
      </c>
      <c r="AV26" s="45" t="s">
        <v>48</v>
      </c>
      <c r="AW26" s="45" t="s">
        <v>48</v>
      </c>
      <c r="AX26" s="45" t="s">
        <v>48</v>
      </c>
      <c r="AY26" s="45" t="s">
        <v>48</v>
      </c>
      <c r="AZ26" s="45" t="s">
        <v>48</v>
      </c>
      <c r="BA26" s="49" t="s">
        <v>48</v>
      </c>
      <c r="BB26" s="8"/>
    </row>
    <row r="27" ht="20.1" customHeight="1" spans="1:54" x14ac:dyDescent="0.25">
      <c r="A27" s="12" t="s">
        <v>51</v>
      </c>
      <c r="B27" s="12"/>
      <c r="C27" s="12"/>
      <c r="D27" s="12"/>
      <c r="E27" s="12"/>
      <c r="F27" s="12"/>
      <c r="G27" s="12"/>
      <c r="H27" s="12"/>
      <c r="I27" s="12"/>
      <c r="J27" s="57">
        <f>J16+J17+J18+J19</f>
      </c>
      <c r="K27" s="62">
        <f>K16+K17+K18+K19</f>
      </c>
      <c r="L27" s="62"/>
      <c r="M27" s="42">
        <f>J27+K27</f>
      </c>
      <c r="N27" s="59">
        <f>N16+N17+N18+N19</f>
      </c>
      <c r="O27" s="59"/>
      <c r="P27" s="60">
        <f>P16+P17+P18+P19</f>
      </c>
      <c r="Q27" s="46">
        <f>N27+P27</f>
      </c>
      <c r="R27" s="61">
        <f>IF(J27&gt;0,N27/J27,0)</f>
      </c>
      <c r="S27" s="61">
        <f>IF(K27&gt;0,P27/K27,0)</f>
      </c>
      <c r="T27" s="48">
        <f>IF(M27&gt;0,(R27+S27)/2,0)</f>
      </c>
      <c r="U27" s="20" t="s">
        <v>48</v>
      </c>
      <c r="V27" s="20"/>
      <c r="W27" s="23" t="s">
        <v>48</v>
      </c>
      <c r="X27" s="23"/>
      <c r="Y27" s="45" t="s">
        <v>48</v>
      </c>
      <c r="Z27" s="45" t="s">
        <v>48</v>
      </c>
      <c r="AA27" s="45" t="s">
        <v>48</v>
      </c>
      <c r="AB27" s="23" t="s">
        <v>48</v>
      </c>
      <c r="AC27" s="23"/>
      <c r="AD27" s="45" t="s">
        <v>48</v>
      </c>
      <c r="AE27" s="45" t="s">
        <v>48</v>
      </c>
      <c r="AF27" s="49" t="s">
        <v>48</v>
      </c>
      <c r="AG27" s="41" t="s">
        <v>48</v>
      </c>
      <c r="AH27" s="45" t="s">
        <v>48</v>
      </c>
      <c r="AI27" s="23" t="s">
        <v>48</v>
      </c>
      <c r="AJ27" s="23"/>
      <c r="AK27" s="45" t="s">
        <v>48</v>
      </c>
      <c r="AL27" s="45" t="s">
        <v>48</v>
      </c>
      <c r="AM27" s="45" t="s">
        <v>48</v>
      </c>
      <c r="AN27" s="45" t="s">
        <v>48</v>
      </c>
      <c r="AO27" s="23" t="s">
        <v>48</v>
      </c>
      <c r="AP27" s="23"/>
      <c r="AQ27" s="23" t="s">
        <v>48</v>
      </c>
      <c r="AR27" s="23"/>
      <c r="AS27" s="41" t="s">
        <v>48</v>
      </c>
      <c r="AT27" s="45" t="s">
        <v>48</v>
      </c>
      <c r="AU27" s="45" t="s">
        <v>48</v>
      </c>
      <c r="AV27" s="45" t="s">
        <v>48</v>
      </c>
      <c r="AW27" s="45" t="s">
        <v>48</v>
      </c>
      <c r="AX27" s="45" t="s">
        <v>48</v>
      </c>
      <c r="AY27" s="45" t="s">
        <v>48</v>
      </c>
      <c r="AZ27" s="45" t="s">
        <v>48</v>
      </c>
      <c r="BA27" s="49" t="s">
        <v>48</v>
      </c>
      <c r="BB27" s="8"/>
    </row>
    <row r="28" ht="20.1" customHeight="1" spans="1:54" x14ac:dyDescent="0.25">
      <c r="A28" s="12" t="s">
        <v>52</v>
      </c>
      <c r="B28" s="12"/>
      <c r="C28" s="12"/>
      <c r="D28" s="12"/>
      <c r="E28" s="12"/>
      <c r="F28" s="12"/>
      <c r="G28" s="12"/>
      <c r="H28" s="12"/>
      <c r="I28" s="12"/>
      <c r="J28" s="57">
        <f>J20+J21+J22+J23</f>
      </c>
      <c r="K28" s="62">
        <f>K20+K21+K22+K23</f>
      </c>
      <c r="L28" s="62"/>
      <c r="M28" s="42">
        <f>J28+K28</f>
      </c>
      <c r="N28" s="59">
        <f>N20+N21+N22+N23</f>
      </c>
      <c r="O28" s="59"/>
      <c r="P28" s="60">
        <f>P20+P21+P22+P23</f>
      </c>
      <c r="Q28" s="46">
        <f>N28+P28</f>
      </c>
      <c r="R28" s="61">
        <f>IF(J28&gt;0,N28/J28,0)</f>
      </c>
      <c r="S28" s="61">
        <f>IF(K28&gt;0,P28/K28,0)</f>
      </c>
      <c r="T28" s="48">
        <f>IF(M28&gt;0,(R28+S28)/2,0)</f>
      </c>
      <c r="U28" s="20" t="s">
        <v>48</v>
      </c>
      <c r="V28" s="20"/>
      <c r="W28" s="23" t="s">
        <v>48</v>
      </c>
      <c r="X28" s="23"/>
      <c r="Y28" s="45" t="s">
        <v>48</v>
      </c>
      <c r="Z28" s="45" t="s">
        <v>48</v>
      </c>
      <c r="AA28" s="45" t="s">
        <v>48</v>
      </c>
      <c r="AB28" s="23" t="s">
        <v>48</v>
      </c>
      <c r="AC28" s="23"/>
      <c r="AD28" s="45" t="s">
        <v>48</v>
      </c>
      <c r="AE28" s="45" t="s">
        <v>48</v>
      </c>
      <c r="AF28" s="49" t="s">
        <v>48</v>
      </c>
      <c r="AG28" s="41" t="s">
        <v>48</v>
      </c>
      <c r="AH28" s="45" t="s">
        <v>48</v>
      </c>
      <c r="AI28" s="23" t="s">
        <v>48</v>
      </c>
      <c r="AJ28" s="23"/>
      <c r="AK28" s="45" t="s">
        <v>48</v>
      </c>
      <c r="AL28" s="45" t="s">
        <v>48</v>
      </c>
      <c r="AM28" s="45" t="s">
        <v>48</v>
      </c>
      <c r="AN28" s="45" t="s">
        <v>48</v>
      </c>
      <c r="AO28" s="23" t="s">
        <v>48</v>
      </c>
      <c r="AP28" s="23"/>
      <c r="AQ28" s="23" t="s">
        <v>48</v>
      </c>
      <c r="AR28" s="23"/>
      <c r="AS28" s="41" t="s">
        <v>48</v>
      </c>
      <c r="AT28" s="45" t="s">
        <v>48</v>
      </c>
      <c r="AU28" s="45" t="s">
        <v>48</v>
      </c>
      <c r="AV28" s="45" t="s">
        <v>48</v>
      </c>
      <c r="AW28" s="45" t="s">
        <v>48</v>
      </c>
      <c r="AX28" s="45" t="s">
        <v>48</v>
      </c>
      <c r="AY28" s="45" t="s">
        <v>48</v>
      </c>
      <c r="AZ28" s="45" t="s">
        <v>48</v>
      </c>
      <c r="BA28" s="49" t="s">
        <v>48</v>
      </c>
      <c r="BB28" s="8"/>
    </row>
    <row r="29" ht="20.1" customHeight="1" spans="1:54" x14ac:dyDescent="0.25">
      <c r="A29" s="63" t="s">
        <v>53</v>
      </c>
      <c r="B29" s="63"/>
      <c r="C29" s="63"/>
      <c r="D29" s="63"/>
      <c r="E29" s="63"/>
      <c r="F29" s="63"/>
      <c r="G29" s="63"/>
      <c r="H29" s="63"/>
      <c r="I29" s="63"/>
      <c r="J29" s="64">
        <f>J25+J26+J27+J28</f>
      </c>
      <c r="K29" s="65">
        <f>K25+K26+K27+K28</f>
      </c>
      <c r="L29" s="65"/>
      <c r="M29" s="66">
        <f>M25+M26+M27+M28</f>
      </c>
      <c r="N29" s="67">
        <f>N25+N26+N27+N28</f>
      </c>
      <c r="O29" s="67"/>
      <c r="P29" s="68">
        <f>P25+P26+P27+P28</f>
      </c>
      <c r="Q29" s="68">
        <f>Q25+Q26+Q27+Q28</f>
      </c>
      <c r="R29" s="69">
        <f>(R25+R26+R27+R28)/4</f>
      </c>
      <c r="S29" s="69">
        <f>(S25+S26+S27+S28)/4</f>
      </c>
      <c r="T29" s="70">
        <f>(T25+T26+T27+T28)/4</f>
      </c>
      <c r="U29" s="67" t="s">
        <v>48</v>
      </c>
      <c r="V29" s="67"/>
      <c r="W29" s="65" t="s">
        <v>48</v>
      </c>
      <c r="X29" s="65"/>
      <c r="Y29" s="68" t="s">
        <v>48</v>
      </c>
      <c r="Z29" s="68" t="s">
        <v>48</v>
      </c>
      <c r="AA29" s="68" t="s">
        <v>48</v>
      </c>
      <c r="AB29" s="65" t="s">
        <v>48</v>
      </c>
      <c r="AC29" s="65"/>
      <c r="AD29" s="68" t="s">
        <v>48</v>
      </c>
      <c r="AE29" s="68" t="s">
        <v>48</v>
      </c>
      <c r="AF29" s="66" t="s">
        <v>48</v>
      </c>
      <c r="AG29" s="64" t="s">
        <v>48</v>
      </c>
      <c r="AH29" s="68" t="s">
        <v>48</v>
      </c>
      <c r="AI29" s="65" t="s">
        <v>48</v>
      </c>
      <c r="AJ29" s="65"/>
      <c r="AK29" s="68" t="s">
        <v>48</v>
      </c>
      <c r="AL29" s="68" t="s">
        <v>48</v>
      </c>
      <c r="AM29" s="68" t="s">
        <v>48</v>
      </c>
      <c r="AN29" s="68" t="s">
        <v>48</v>
      </c>
      <c r="AO29" s="65" t="s">
        <v>48</v>
      </c>
      <c r="AP29" s="65"/>
      <c r="AQ29" s="65" t="s">
        <v>48</v>
      </c>
      <c r="AR29" s="65"/>
      <c r="AS29" s="64" t="s">
        <v>48</v>
      </c>
      <c r="AT29" s="68" t="s">
        <v>48</v>
      </c>
      <c r="AU29" s="68" t="s">
        <v>48</v>
      </c>
      <c r="AV29" s="68" t="s">
        <v>48</v>
      </c>
      <c r="AW29" s="68" t="s">
        <v>48</v>
      </c>
      <c r="AX29" s="68" t="s">
        <v>48</v>
      </c>
      <c r="AY29" s="68" t="s">
        <v>48</v>
      </c>
      <c r="AZ29" s="68" t="s">
        <v>48</v>
      </c>
      <c r="BA29" s="66" t="s">
        <v>48</v>
      </c>
      <c r="BB29" s="8"/>
    </row>
    <row r="30" ht="15" customHeight="1" spans="1:54" x14ac:dyDescent="0.25">
      <c r="A30" s="8"/>
      <c r="B30" s="71" t="s">
        <v>54</v>
      </c>
      <c r="C30" s="71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72" t="s">
        <v>55</v>
      </c>
      <c r="AD30" s="72"/>
      <c r="AE30" s="72"/>
      <c r="AF30" s="72"/>
      <c r="AG30" s="72"/>
      <c r="AH30" s="72"/>
      <c r="AI30" s="72"/>
      <c r="AJ30" s="72"/>
      <c r="AK30" s="72"/>
      <c r="AL30" s="72"/>
      <c r="AM30" s="72"/>
      <c r="AN30" s="72"/>
      <c r="AO30" s="72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</row>
    <row r="31" ht="24.95" customHeight="1" spans="1:54" x14ac:dyDescent="0.25">
      <c r="A31" s="8"/>
      <c r="B31" s="8"/>
      <c r="C31" s="73" t="s">
        <v>56</v>
      </c>
      <c r="D31" s="74" t="s">
        <v>48</v>
      </c>
      <c r="E31" s="74"/>
      <c r="F31" s="74"/>
      <c r="G31" s="75" t="s">
        <v>57</v>
      </c>
      <c r="H31" s="75"/>
      <c r="I31" s="74" t="s">
        <v>48</v>
      </c>
      <c r="J31" s="74"/>
      <c r="K31" s="74"/>
      <c r="L31" s="75" t="s">
        <v>58</v>
      </c>
      <c r="M31" s="75"/>
      <c r="N31" s="75"/>
      <c r="O31" s="75"/>
      <c r="P31" s="75"/>
      <c r="Q31" s="75"/>
      <c r="R31" s="75"/>
      <c r="S31" s="74" t="s">
        <v>48</v>
      </c>
      <c r="T31" s="74"/>
      <c r="U31" s="74"/>
      <c r="V31" s="8"/>
      <c r="W31" s="8"/>
      <c r="X31" s="8"/>
      <c r="Y31" s="8"/>
      <c r="Z31" s="8"/>
      <c r="AA31" s="8"/>
      <c r="AB31" s="8"/>
      <c r="AC31" s="76" t="s">
        <v>59</v>
      </c>
      <c r="AD31" s="76"/>
      <c r="AE31" s="76"/>
      <c r="AF31" s="76"/>
      <c r="AG31" s="76"/>
      <c r="AH31" s="76"/>
      <c r="AI31" s="76"/>
      <c r="AJ31" s="76"/>
      <c r="AK31" s="76"/>
      <c r="AL31" s="76"/>
      <c r="AM31" s="76"/>
      <c r="AN31" s="76"/>
      <c r="AO31" s="76"/>
      <c r="AP31" s="8"/>
      <c r="AQ31" s="8"/>
      <c r="AR31" s="76" t="s">
        <v>60</v>
      </c>
      <c r="AS31" s="76"/>
      <c r="AT31" s="76"/>
      <c r="AU31" s="76"/>
      <c r="AV31" s="76"/>
      <c r="AW31" s="76"/>
      <c r="AX31" s="76"/>
      <c r="AY31" s="76"/>
      <c r="AZ31" s="76"/>
      <c r="BA31" s="76"/>
      <c r="BB31" s="8"/>
    </row>
    <row r="32" ht="0.95" customHeight="1" spans="1:54" x14ac:dyDescent="0.25">
      <c r="A32" s="8"/>
      <c r="B32" s="8"/>
      <c r="C32" s="77"/>
      <c r="D32" s="77"/>
      <c r="E32" s="77"/>
      <c r="F32" s="77"/>
      <c r="G32" s="77"/>
      <c r="H32" s="77"/>
      <c r="I32" s="77"/>
      <c r="J32" s="77"/>
      <c r="K32" s="77"/>
      <c r="L32" s="77"/>
      <c r="M32" s="77"/>
      <c r="N32" s="77"/>
      <c r="O32" s="77"/>
      <c r="P32" s="77"/>
      <c r="Q32" s="77"/>
      <c r="R32" s="77"/>
      <c r="S32" s="77"/>
      <c r="T32" s="77"/>
      <c r="U32" s="77"/>
      <c r="V32" s="8"/>
      <c r="W32" s="8"/>
      <c r="X32" s="8"/>
      <c r="Y32" s="8"/>
      <c r="Z32" s="8"/>
      <c r="AA32" s="8"/>
      <c r="AB32" s="8"/>
      <c r="AC32" s="78" t="s">
        <v>61</v>
      </c>
      <c r="AD32" s="78"/>
      <c r="AE32" s="78"/>
      <c r="AF32" s="78"/>
      <c r="AG32" s="78"/>
      <c r="AH32" s="78"/>
      <c r="AI32" s="78"/>
      <c r="AJ32" s="78"/>
      <c r="AK32" s="78"/>
      <c r="AL32" s="78"/>
      <c r="AM32" s="78"/>
      <c r="AN32" s="78"/>
      <c r="AO32" s="78"/>
      <c r="AP32" s="8"/>
      <c r="AQ32" s="8"/>
      <c r="AR32" s="79" t="s">
        <v>62</v>
      </c>
      <c r="AS32" s="79"/>
      <c r="AT32" s="79"/>
      <c r="AU32" s="79"/>
      <c r="AV32" s="79"/>
      <c r="AW32" s="79"/>
      <c r="AX32" s="79"/>
      <c r="AY32" s="79"/>
      <c r="AZ32" s="79"/>
      <c r="BA32" s="79"/>
      <c r="BB32" s="8"/>
    </row>
    <row r="33" ht="18.95" customHeight="1" spans="1:54" x14ac:dyDescent="0.25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 s="8"/>
      <c r="AQ33" s="8"/>
      <c r="AR33"/>
      <c r="AS33"/>
      <c r="AT33"/>
      <c r="AU33"/>
      <c r="AV33"/>
      <c r="AW33"/>
      <c r="AX33"/>
      <c r="AY33"/>
      <c r="AZ33"/>
      <c r="BA33"/>
      <c r="BB33" s="8"/>
    </row>
    <row r="34" ht="20.1" customHeight="1" spans="1:54" x14ac:dyDescent="0.25">
      <c r="A34" s="80"/>
      <c r="B34" s="80"/>
      <c r="C34" s="80"/>
      <c r="D34" s="80"/>
      <c r="E34" s="80"/>
      <c r="F34" s="80"/>
      <c r="G34" s="80"/>
      <c r="H34" s="80"/>
      <c r="I34" s="80"/>
      <c r="J34" s="80"/>
      <c r="K34" s="80"/>
      <c r="L34" s="80"/>
      <c r="M34" s="80"/>
      <c r="N34" s="80"/>
      <c r="O34" s="80"/>
      <c r="P34" s="80"/>
      <c r="Q34" s="80"/>
      <c r="R34" s="80"/>
      <c r="S34" s="80"/>
      <c r="T34" s="80"/>
      <c r="U34" s="80"/>
      <c r="V34" s="80"/>
      <c r="W34" s="80"/>
      <c r="X34" s="80"/>
      <c r="Y34" s="80"/>
      <c r="Z34" s="80"/>
      <c r="AA34" s="81"/>
      <c r="AB34" s="81"/>
      <c r="AC34" s="81"/>
      <c r="AD34" s="81"/>
      <c r="AE34" s="81"/>
      <c r="AF34" s="81"/>
      <c r="AG34" s="81"/>
      <c r="AH34" s="81"/>
      <c r="AI34" s="81"/>
      <c r="AJ34" s="81"/>
      <c r="AK34" s="81"/>
      <c r="AL34" s="81"/>
      <c r="AM34" s="81"/>
      <c r="AN34" s="81"/>
      <c r="AO34" s="81"/>
      <c r="AP34" s="81"/>
      <c r="AQ34" s="81"/>
      <c r="AR34" s="81"/>
      <c r="AS34" s="81"/>
      <c r="AT34" s="81"/>
      <c r="AU34" s="81"/>
      <c r="AV34" s="81"/>
      <c r="AW34" s="81"/>
      <c r="AX34" s="81"/>
      <c r="AY34" s="81"/>
      <c r="AZ34" s="81"/>
      <c r="BA34" s="81"/>
      <c r="BB34" s="81"/>
    </row>
  </sheetData>
  <mergeCells count="250">
    <mergeCell ref="A1:BB1"/>
    <mergeCell ref="A2:BB2"/>
    <mergeCell ref="A3:G3"/>
    <mergeCell ref="H3:M3"/>
    <mergeCell ref="O3:W3"/>
    <mergeCell ref="X3:AC3"/>
    <mergeCell ref="AD3:AO3"/>
    <mergeCell ref="A4:G4"/>
    <mergeCell ref="H4:W4"/>
    <mergeCell ref="X4:AC4"/>
    <mergeCell ref="AD4:AI4"/>
    <mergeCell ref="AJ4:AT4"/>
    <mergeCell ref="AU4:BA4"/>
    <mergeCell ref="A5:B7"/>
    <mergeCell ref="C5:E7"/>
    <mergeCell ref="F5:I7"/>
    <mergeCell ref="J5:M6"/>
    <mergeCell ref="N5:T5"/>
    <mergeCell ref="U5:AF5"/>
    <mergeCell ref="AG5:AR5"/>
    <mergeCell ref="AS5:BA5"/>
    <mergeCell ref="N6:Q6"/>
    <mergeCell ref="R6:T6"/>
    <mergeCell ref="U6:Y6"/>
    <mergeCell ref="Z6:AC6"/>
    <mergeCell ref="AD6:AF6"/>
    <mergeCell ref="AG6:AJ6"/>
    <mergeCell ref="AK6:AM6"/>
    <mergeCell ref="AN6:AR6"/>
    <mergeCell ref="AS6:AU6"/>
    <mergeCell ref="AV6:AX6"/>
    <mergeCell ref="AY6:BA6"/>
    <mergeCell ref="K7:L7"/>
    <mergeCell ref="N7:O7"/>
    <mergeCell ref="U7:V7"/>
    <mergeCell ref="W7:X7"/>
    <mergeCell ref="AB7:AC7"/>
    <mergeCell ref="AI7:AJ7"/>
    <mergeCell ref="AO7:AP7"/>
    <mergeCell ref="AQ7:AR7"/>
    <mergeCell ref="A8:B8"/>
    <mergeCell ref="C8:E8"/>
    <mergeCell ref="F8:I8"/>
    <mergeCell ref="K8:L8"/>
    <mergeCell ref="N8:O8"/>
    <mergeCell ref="U8:V8"/>
    <mergeCell ref="W8:X8"/>
    <mergeCell ref="AB8:AC8"/>
    <mergeCell ref="AI8:AJ8"/>
    <mergeCell ref="AO8:AP8"/>
    <mergeCell ref="AQ8:AR8"/>
    <mergeCell ref="A9:B9"/>
    <mergeCell ref="C9:E9"/>
    <mergeCell ref="F9:I9"/>
    <mergeCell ref="K9:L9"/>
    <mergeCell ref="N9:O9"/>
    <mergeCell ref="U9:V9"/>
    <mergeCell ref="W9:X9"/>
    <mergeCell ref="AB9:AC9"/>
    <mergeCell ref="AI9:AJ9"/>
    <mergeCell ref="AO9:AP9"/>
    <mergeCell ref="AQ9:AR9"/>
    <mergeCell ref="A10:B10"/>
    <mergeCell ref="C10:E10"/>
    <mergeCell ref="F10:I10"/>
    <mergeCell ref="K10:L10"/>
    <mergeCell ref="N10:O10"/>
    <mergeCell ref="U10:V10"/>
    <mergeCell ref="W10:X10"/>
    <mergeCell ref="AB10:AC10"/>
    <mergeCell ref="AI10:AJ10"/>
    <mergeCell ref="AO10:AP10"/>
    <mergeCell ref="AQ10:AR10"/>
    <mergeCell ref="A11:B11"/>
    <mergeCell ref="C11:E11"/>
    <mergeCell ref="F11:I11"/>
    <mergeCell ref="K11:L11"/>
    <mergeCell ref="N11:O11"/>
    <mergeCell ref="U11:V11"/>
    <mergeCell ref="W11:X11"/>
    <mergeCell ref="AB11:AC11"/>
    <mergeCell ref="AI11:AJ11"/>
    <mergeCell ref="AO11:AP11"/>
    <mergeCell ref="AQ11:AR11"/>
    <mergeCell ref="A12:B12"/>
    <mergeCell ref="C12:E12"/>
    <mergeCell ref="F12:I12"/>
    <mergeCell ref="K12:L12"/>
    <mergeCell ref="N12:O12"/>
    <mergeCell ref="U12:V12"/>
    <mergeCell ref="W12:X12"/>
    <mergeCell ref="AB12:AC12"/>
    <mergeCell ref="AI12:AJ12"/>
    <mergeCell ref="AO12:AP12"/>
    <mergeCell ref="AQ12:AR12"/>
    <mergeCell ref="A13:B13"/>
    <mergeCell ref="C13:E13"/>
    <mergeCell ref="F13:I13"/>
    <mergeCell ref="K13:L13"/>
    <mergeCell ref="N13:O13"/>
    <mergeCell ref="U13:V13"/>
    <mergeCell ref="W13:X13"/>
    <mergeCell ref="AB13:AC13"/>
    <mergeCell ref="AI13:AJ13"/>
    <mergeCell ref="AO13:AP13"/>
    <mergeCell ref="AQ13:AR13"/>
    <mergeCell ref="A14:B14"/>
    <mergeCell ref="C14:E14"/>
    <mergeCell ref="F14:I14"/>
    <mergeCell ref="K14:L14"/>
    <mergeCell ref="N14:O14"/>
    <mergeCell ref="U14:V14"/>
    <mergeCell ref="W14:X14"/>
    <mergeCell ref="AB14:AC14"/>
    <mergeCell ref="AI14:AJ14"/>
    <mergeCell ref="AO14:AP14"/>
    <mergeCell ref="AQ14:AR14"/>
    <mergeCell ref="A15:B15"/>
    <mergeCell ref="C15:E15"/>
    <mergeCell ref="F15:I15"/>
    <mergeCell ref="K15:L15"/>
    <mergeCell ref="N15:O15"/>
    <mergeCell ref="U15:V15"/>
    <mergeCell ref="W15:X15"/>
    <mergeCell ref="AB15:AC15"/>
    <mergeCell ref="AI15:AJ15"/>
    <mergeCell ref="AO15:AP15"/>
    <mergeCell ref="AQ15:AR15"/>
    <mergeCell ref="A16:B16"/>
    <mergeCell ref="C16:E16"/>
    <mergeCell ref="F16:I16"/>
    <mergeCell ref="K16:L16"/>
    <mergeCell ref="N16:O16"/>
    <mergeCell ref="U16:V16"/>
    <mergeCell ref="W16:X16"/>
    <mergeCell ref="AB16:AC16"/>
    <mergeCell ref="AI16:AJ16"/>
    <mergeCell ref="AO16:AP16"/>
    <mergeCell ref="AQ16:AR16"/>
    <mergeCell ref="A17:B17"/>
    <mergeCell ref="C17:E17"/>
    <mergeCell ref="F17:I17"/>
    <mergeCell ref="K17:L17"/>
    <mergeCell ref="N17:O17"/>
    <mergeCell ref="U17:V17"/>
    <mergeCell ref="W17:X17"/>
    <mergeCell ref="AB17:AC17"/>
    <mergeCell ref="AI17:AJ17"/>
    <mergeCell ref="AO17:AP17"/>
    <mergeCell ref="AQ17:AR17"/>
    <mergeCell ref="A18:B18"/>
    <mergeCell ref="C18:E18"/>
    <mergeCell ref="F18:I18"/>
    <mergeCell ref="K18:L18"/>
    <mergeCell ref="N18:O18"/>
    <mergeCell ref="U18:V18"/>
    <mergeCell ref="W18:X18"/>
    <mergeCell ref="AB18:AC18"/>
    <mergeCell ref="AI18:AJ18"/>
    <mergeCell ref="AO18:AP18"/>
    <mergeCell ref="AQ18:AR18"/>
    <mergeCell ref="A19:B19"/>
    <mergeCell ref="C19:E19"/>
    <mergeCell ref="F19:I19"/>
    <mergeCell ref="K19:L19"/>
    <mergeCell ref="N19:O19"/>
    <mergeCell ref="U19:V19"/>
    <mergeCell ref="W19:X19"/>
    <mergeCell ref="AB19:AC19"/>
    <mergeCell ref="AI19:AJ19"/>
    <mergeCell ref="AO19:AP19"/>
    <mergeCell ref="AQ19:AR19"/>
    <mergeCell ref="A20:B20"/>
    <mergeCell ref="C20:E20"/>
    <mergeCell ref="F20:I20"/>
    <mergeCell ref="K20:L20"/>
    <mergeCell ref="N20:O20"/>
    <mergeCell ref="U20:V20"/>
    <mergeCell ref="W20:X20"/>
    <mergeCell ref="AB20:AC20"/>
    <mergeCell ref="AI20:AJ20"/>
    <mergeCell ref="AO20:AP20"/>
    <mergeCell ref="AQ20:AR20"/>
    <mergeCell ref="A24:I24"/>
    <mergeCell ref="K24:L24"/>
    <mergeCell ref="N24:O24"/>
    <mergeCell ref="U24:V24"/>
    <mergeCell ref="W24:X24"/>
    <mergeCell ref="AB24:AC24"/>
    <mergeCell ref="AI24:AJ24"/>
    <mergeCell ref="AO24:AP24"/>
    <mergeCell ref="AQ24:AR24"/>
    <mergeCell ref="A25:I25"/>
    <mergeCell ref="K25:L25"/>
    <mergeCell ref="N25:O25"/>
    <mergeCell ref="U25:V25"/>
    <mergeCell ref="W25:X25"/>
    <mergeCell ref="AB25:AC25"/>
    <mergeCell ref="AI25:AJ25"/>
    <mergeCell ref="AO25:AP25"/>
    <mergeCell ref="AQ25:AR25"/>
    <mergeCell ref="A26:I26"/>
    <mergeCell ref="K26:L26"/>
    <mergeCell ref="N26:O26"/>
    <mergeCell ref="U26:V26"/>
    <mergeCell ref="W26:X26"/>
    <mergeCell ref="AB26:AC26"/>
    <mergeCell ref="AI26:AJ26"/>
    <mergeCell ref="AO26:AP26"/>
    <mergeCell ref="AQ26:AR26"/>
    <mergeCell ref="A27:I27"/>
    <mergeCell ref="K27:L27"/>
    <mergeCell ref="N27:O27"/>
    <mergeCell ref="U27:V27"/>
    <mergeCell ref="W27:X27"/>
    <mergeCell ref="AB27:AC27"/>
    <mergeCell ref="AI27:AJ27"/>
    <mergeCell ref="AO27:AP27"/>
    <mergeCell ref="AQ27:AR27"/>
    <mergeCell ref="A28:I28"/>
    <mergeCell ref="K28:L28"/>
    <mergeCell ref="N28:O28"/>
    <mergeCell ref="U28:V28"/>
    <mergeCell ref="W28:X28"/>
    <mergeCell ref="AB28:AC28"/>
    <mergeCell ref="AI28:AJ28"/>
    <mergeCell ref="AO28:AP28"/>
    <mergeCell ref="AQ28:AR28"/>
    <mergeCell ref="A29:I29"/>
    <mergeCell ref="K29:L29"/>
    <mergeCell ref="N29:O29"/>
    <mergeCell ref="U29:V29"/>
    <mergeCell ref="W29:X29"/>
    <mergeCell ref="AB29:AC29"/>
    <mergeCell ref="AI29:AJ29"/>
    <mergeCell ref="AO29:AP29"/>
    <mergeCell ref="AQ29:AR29"/>
    <mergeCell ref="B30:C30"/>
    <mergeCell ref="AC30:AO30"/>
    <mergeCell ref="D31:F32"/>
    <mergeCell ref="G31:H32"/>
    <mergeCell ref="I31:K32"/>
    <mergeCell ref="L31:R32"/>
    <mergeCell ref="S31:U32"/>
    <mergeCell ref="AC31:AO31"/>
    <mergeCell ref="AR31:BA31"/>
    <mergeCell ref="C31:C32"/>
    <mergeCell ref="AC32:AO33"/>
    <mergeCell ref="AR32:BA33"/>
    <mergeCell ref="A34:Z34"/>
  </mergeCells>
  <pageMargins left="0.2362204724409449" right="0.03937007874015748" top="0.5118110236220472" bottom="0.31496062992125984" header="0.31496062992125984" footer="0.31496062992125984"/>
  <pageSetup paperSize="9" orientation="landscape" horizontalDpi="300" verticalDpi="300" pageOrder="overThenDown" scale="92" fitToWidth="1" fitToHeight="0" firstPageNumber="0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school_form_4_ver2014.2.1.1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Joseph Earven Valdesimo</cp:lastModifiedBy>
  <cp:lastPrinted>2025-04-03T01:43:58Z</cp:lastPrinted>
  <dcterms:created xsi:type="dcterms:W3CDTF">2021-12-01T15:08:56Z</dcterms:created>
  <dcterms:modified xsi:type="dcterms:W3CDTF">2026-05-29T14:15:41Z</dcterms:modified>
</cp:coreProperties>
</file>